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zuho6474\Desktop\"/>
    </mc:Choice>
  </mc:AlternateContent>
  <xr:revisionPtr revIDLastSave="0" documentId="13_ncr:1_{0C30D5A5-7A54-4397-9DCE-54595F8B1B10}" xr6:coauthVersionLast="45" xr6:coauthVersionMax="45" xr10:uidLastSave="{00000000-0000-0000-0000-000000000000}"/>
  <bookViews>
    <workbookView xWindow="-108" yWindow="-108" windowWidth="23256" windowHeight="12576" activeTab="1" xr2:uid="{7AAFC96B-DB8A-4A3D-A1F6-A3AB1BF4AA7F}"/>
  </bookViews>
  <sheets>
    <sheet name="予算・公演費" sheetId="1" r:id="rId1"/>
    <sheet name="締め切り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C21" i="1"/>
  <c r="E20" i="1"/>
  <c r="G20" i="1"/>
  <c r="G19" i="1"/>
  <c r="G18" i="1"/>
  <c r="G21" i="1"/>
  <c r="C14" i="1"/>
  <c r="J16" i="1"/>
</calcChain>
</file>

<file path=xl/sharedStrings.xml><?xml version="1.0" encoding="utf-8"?>
<sst xmlns="http://schemas.openxmlformats.org/spreadsheetml/2006/main" count="95" uniqueCount="82">
  <si>
    <t>役職</t>
    <rPh sb="0" eb="2">
      <t>ヤクショク</t>
    </rPh>
    <phoneticPr fontId="1"/>
  </si>
  <si>
    <t>予算</t>
    <rPh sb="0" eb="2">
      <t>ヨサン</t>
    </rPh>
    <phoneticPr fontId="1"/>
  </si>
  <si>
    <t>内訳</t>
    <rPh sb="0" eb="2">
      <t>ウチワケ</t>
    </rPh>
    <phoneticPr fontId="1"/>
  </si>
  <si>
    <t>稽古場</t>
    <rPh sb="0" eb="2">
      <t>ケイコ</t>
    </rPh>
    <rPh sb="2" eb="3">
      <t>バ</t>
    </rPh>
    <phoneticPr fontId="1"/>
  </si>
  <si>
    <t>美術</t>
    <rPh sb="0" eb="2">
      <t>ビジュツ</t>
    </rPh>
    <phoneticPr fontId="1"/>
  </si>
  <si>
    <t>20000(パンチ),3000(ベニヤ×3),2000(垂木×4),4000(赤ペンキ),1000(金具),2000(ホルダー)</t>
    <rPh sb="28" eb="30">
      <t>タルキ</t>
    </rPh>
    <rPh sb="39" eb="40">
      <t>アカ</t>
    </rPh>
    <rPh sb="50" eb="52">
      <t>カナグ</t>
    </rPh>
    <phoneticPr fontId="1"/>
  </si>
  <si>
    <t>音響</t>
    <rPh sb="0" eb="2">
      <t>オンキョウ</t>
    </rPh>
    <phoneticPr fontId="1"/>
  </si>
  <si>
    <t>300(wakaruという曲)</t>
    <rPh sb="13" eb="14">
      <t>キョク</t>
    </rPh>
    <phoneticPr fontId="1"/>
  </si>
  <si>
    <t>照明</t>
    <rPh sb="0" eb="2">
      <t>ショウメイ</t>
    </rPh>
    <phoneticPr fontId="1"/>
  </si>
  <si>
    <t>衣装</t>
    <rPh sb="0" eb="2">
      <t>イショウ</t>
    </rPh>
    <phoneticPr fontId="1"/>
  </si>
  <si>
    <t>制作</t>
    <rPh sb="0" eb="2">
      <t>セイサク</t>
    </rPh>
    <phoneticPr fontId="1"/>
  </si>
  <si>
    <t>18788(カメラ代)、990(SDカード32GB)×2、</t>
    <rPh sb="9" eb="10">
      <t>ダイ</t>
    </rPh>
    <phoneticPr fontId="1"/>
  </si>
  <si>
    <t>宣伝美術</t>
    <rPh sb="0" eb="2">
      <t>センデン</t>
    </rPh>
    <rPh sb="2" eb="4">
      <t>ビジュツ</t>
    </rPh>
    <phoneticPr fontId="1"/>
  </si>
  <si>
    <t>4576(DM115部→200部)</t>
    <rPh sb="10" eb="11">
      <t>ブ</t>
    </rPh>
    <rPh sb="15" eb="16">
      <t>ブ</t>
    </rPh>
    <phoneticPr fontId="1"/>
  </si>
  <si>
    <t>DM</t>
    <phoneticPr fontId="1"/>
  </si>
  <si>
    <t>通常＋印刷代</t>
    <rPh sb="0" eb="2">
      <t>ツウジョウ</t>
    </rPh>
    <rPh sb="3" eb="5">
      <t>インサツ</t>
    </rPh>
    <rPh sb="5" eb="6">
      <t>ダイ</t>
    </rPh>
    <phoneticPr fontId="1"/>
  </si>
  <si>
    <t>小計</t>
    <rPh sb="0" eb="2">
      <t>ショウケイ</t>
    </rPh>
    <phoneticPr fontId="1"/>
  </si>
  <si>
    <t>雑費</t>
    <rPh sb="0" eb="2">
      <t>ザッピ</t>
    </rPh>
    <phoneticPr fontId="1"/>
  </si>
  <si>
    <t>予備費</t>
    <rPh sb="0" eb="3">
      <t>ヨビヒ</t>
    </rPh>
    <phoneticPr fontId="1"/>
  </si>
  <si>
    <t>合計</t>
    <rPh sb="0" eb="2">
      <t>ゴウケイ</t>
    </rPh>
    <phoneticPr fontId="1"/>
  </si>
  <si>
    <t>1819のみと仮定したときの公演費用</t>
    <rPh sb="7" eb="9">
      <t>カテイ</t>
    </rPh>
    <rPh sb="14" eb="16">
      <t>コウエン</t>
    </rPh>
    <rPh sb="16" eb="18">
      <t>ヒヨウ</t>
    </rPh>
    <phoneticPr fontId="1"/>
  </si>
  <si>
    <t>公演費</t>
    <rPh sb="0" eb="2">
      <t>コウエン</t>
    </rPh>
    <rPh sb="2" eb="3">
      <t>ヒ</t>
    </rPh>
    <phoneticPr fontId="1"/>
  </si>
  <si>
    <t>ここはまだ決まってません</t>
    <rPh sb="5" eb="6">
      <t>キ</t>
    </rPh>
    <phoneticPr fontId="1"/>
  </si>
  <si>
    <t>人数(現時点)</t>
    <rPh sb="0" eb="2">
      <t>ニンズウ</t>
    </rPh>
    <rPh sb="3" eb="6">
      <t>ゲンジテン</t>
    </rPh>
    <phoneticPr fontId="1"/>
  </si>
  <si>
    <t>一人当たり</t>
    <rPh sb="0" eb="2">
      <t>ヒトリ</t>
    </rPh>
    <rPh sb="2" eb="3">
      <t>ア</t>
    </rPh>
    <phoneticPr fontId="1"/>
  </si>
  <si>
    <t>計</t>
    <rPh sb="0" eb="1">
      <t>ケイ</t>
    </rPh>
    <phoneticPr fontId="1"/>
  </si>
  <si>
    <t>２０( 人)</t>
    <rPh sb="4" eb="5">
      <t>ヒト</t>
    </rPh>
    <phoneticPr fontId="1"/>
  </si>
  <si>
    <t>１９(人)</t>
    <rPh sb="3" eb="4">
      <t>ヒト</t>
    </rPh>
    <phoneticPr fontId="1"/>
  </si>
  <si>
    <t>１８(人)</t>
    <rPh sb="3" eb="4">
      <t>ヒト</t>
    </rPh>
    <phoneticPr fontId="1"/>
  </si>
  <si>
    <t>最終新入生受け入れ</t>
    <rPh sb="0" eb="2">
      <t>サイシュウ</t>
    </rPh>
    <rPh sb="2" eb="6">
      <t>シンニュウセイウ</t>
    </rPh>
    <rPh sb="7" eb="8">
      <t>イ</t>
    </rPh>
    <phoneticPr fontId="1"/>
  </si>
  <si>
    <t>公演費確定</t>
    <rPh sb="0" eb="2">
      <t>コウエン</t>
    </rPh>
    <rPh sb="2" eb="3">
      <t>ヒ</t>
    </rPh>
    <rPh sb="3" eb="5">
      <t>カクテイ</t>
    </rPh>
    <phoneticPr fontId="1"/>
  </si>
  <si>
    <t>演出</t>
    <rPh sb="0" eb="2">
      <t>エンシュツ</t>
    </rPh>
    <phoneticPr fontId="1"/>
  </si>
  <si>
    <t>M案</t>
    <rPh sb="1" eb="2">
      <t>アン</t>
    </rPh>
    <phoneticPr fontId="1"/>
  </si>
  <si>
    <t>最終稿</t>
    <rPh sb="0" eb="2">
      <t>サイシュウ</t>
    </rPh>
    <rPh sb="2" eb="3">
      <t>コウ</t>
    </rPh>
    <phoneticPr fontId="1"/>
  </si>
  <si>
    <t>舞台</t>
    <rPh sb="0" eb="2">
      <t>ブタイ</t>
    </rPh>
    <phoneticPr fontId="1"/>
  </si>
  <si>
    <t>小道具</t>
    <rPh sb="0" eb="3">
      <t>コドウグ</t>
    </rPh>
    <phoneticPr fontId="1"/>
  </si>
  <si>
    <t>新入生受け入れ</t>
    <rPh sb="0" eb="3">
      <t>シンニュウセイ</t>
    </rPh>
    <rPh sb="3" eb="4">
      <t>ウ</t>
    </rPh>
    <rPh sb="5" eb="6">
      <t>イ</t>
    </rPh>
    <phoneticPr fontId="1"/>
  </si>
  <si>
    <t>11月中旬？</t>
    <rPh sb="2" eb="3">
      <t>ガツ</t>
    </rPh>
    <rPh sb="3" eb="5">
      <t>チュウジュン</t>
    </rPh>
    <phoneticPr fontId="1"/>
  </si>
  <si>
    <t>スタワの制限次第</t>
    <rPh sb="4" eb="6">
      <t>セイゲン</t>
    </rPh>
    <rPh sb="6" eb="8">
      <t>シダイ</t>
    </rPh>
    <phoneticPr fontId="1"/>
  </si>
  <si>
    <t>できたらいつでも</t>
    <phoneticPr fontId="1"/>
  </si>
  <si>
    <t>劇中M,SE=客入れ客だし</t>
    <rPh sb="0" eb="2">
      <t>ゲキチュウ</t>
    </rPh>
    <rPh sb="7" eb="8">
      <t>キャク</t>
    </rPh>
    <rPh sb="8" eb="9">
      <t>イ</t>
    </rPh>
    <rPh sb="10" eb="11">
      <t>キャク</t>
    </rPh>
    <phoneticPr fontId="1"/>
  </si>
  <si>
    <t>録音</t>
    <rPh sb="0" eb="2">
      <t>ロクオン</t>
    </rPh>
    <phoneticPr fontId="1"/>
  </si>
  <si>
    <t>Qシート</t>
    <phoneticPr fontId="1"/>
  </si>
  <si>
    <t>新入生受け入れ</t>
    <rPh sb="0" eb="4">
      <t>シンニュウセイウ</t>
    </rPh>
    <rPh sb="5" eb="6">
      <t>イ</t>
    </rPh>
    <phoneticPr fontId="1"/>
  </si>
  <si>
    <t>一名のみ、確定</t>
    <rPh sb="0" eb="2">
      <t>イチメイ</t>
    </rPh>
    <rPh sb="5" eb="7">
      <t>カクテイ</t>
    </rPh>
    <phoneticPr fontId="1"/>
  </si>
  <si>
    <t>新入生受け入れ</t>
    <phoneticPr fontId="1"/>
  </si>
  <si>
    <t>コード・灯体チェック</t>
    <rPh sb="4" eb="6">
      <t>トウタイ</t>
    </rPh>
    <phoneticPr fontId="1"/>
  </si>
  <si>
    <t>プラン・釣り込み表</t>
    <rPh sb="4" eb="5">
      <t>ツ</t>
    </rPh>
    <rPh sb="6" eb="7">
      <t>コ</t>
    </rPh>
    <rPh sb="8" eb="9">
      <t>ヒョウ</t>
    </rPh>
    <phoneticPr fontId="1"/>
  </si>
  <si>
    <t>音照</t>
    <rPh sb="0" eb="1">
      <t>オト</t>
    </rPh>
    <rPh sb="1" eb="2">
      <t>ショウ</t>
    </rPh>
    <phoneticPr fontId="1"/>
  </si>
  <si>
    <t>音照会議</t>
    <rPh sb="0" eb="1">
      <t>オト</t>
    </rPh>
    <rPh sb="1" eb="2">
      <t>ショウ</t>
    </rPh>
    <rPh sb="2" eb="4">
      <t>カイギ</t>
    </rPh>
    <phoneticPr fontId="1"/>
  </si>
  <si>
    <t>11/18付近</t>
    <rPh sb="5" eb="7">
      <t>フキン</t>
    </rPh>
    <phoneticPr fontId="1"/>
  </si>
  <si>
    <t>衣装合わせ</t>
    <rPh sb="0" eb="2">
      <t>イショウ</t>
    </rPh>
    <rPh sb="2" eb="3">
      <t>ア</t>
    </rPh>
    <phoneticPr fontId="1"/>
  </si>
  <si>
    <t>テンプレ</t>
    <phoneticPr fontId="1"/>
  </si>
  <si>
    <t>ブログテーマ</t>
    <phoneticPr fontId="1"/>
  </si>
  <si>
    <t>ブログ日程</t>
    <rPh sb="3" eb="5">
      <t>ニッテイ</t>
    </rPh>
    <phoneticPr fontId="1"/>
  </si>
  <si>
    <t>SDカード一枚目</t>
    <rPh sb="5" eb="8">
      <t>イチマイメ</t>
    </rPh>
    <phoneticPr fontId="1"/>
  </si>
  <si>
    <t>カメラ決定</t>
    <rPh sb="3" eb="5">
      <t>ケッテイ</t>
    </rPh>
    <phoneticPr fontId="1"/>
  </si>
  <si>
    <t>SDカード2枚目</t>
    <rPh sb="6" eb="8">
      <t>マイメ</t>
    </rPh>
    <phoneticPr fontId="1"/>
  </si>
  <si>
    <t>カメラ決定後</t>
    <rPh sb="3" eb="5">
      <t>ケッテイ</t>
    </rPh>
    <rPh sb="5" eb="6">
      <t>ゴ</t>
    </rPh>
    <phoneticPr fontId="1"/>
  </si>
  <si>
    <t>動画撮影マニュアル</t>
    <rPh sb="0" eb="2">
      <t>ドウガ</t>
    </rPh>
    <rPh sb="2" eb="4">
      <t>サツエイ</t>
    </rPh>
    <phoneticPr fontId="1"/>
  </si>
  <si>
    <t>キャスト紹介撮影</t>
    <rPh sb="4" eb="6">
      <t>ショウカイ</t>
    </rPh>
    <rPh sb="6" eb="8">
      <t>サツエイ</t>
    </rPh>
    <phoneticPr fontId="1"/>
  </si>
  <si>
    <t>オンライン配信マニュアル</t>
    <rPh sb="5" eb="7">
      <t>ハイシン</t>
    </rPh>
    <phoneticPr fontId="1"/>
  </si>
  <si>
    <t>キャスト動画編集</t>
    <rPh sb="4" eb="6">
      <t>ドウガ</t>
    </rPh>
    <rPh sb="6" eb="8">
      <t>ヘンシュウ</t>
    </rPh>
    <phoneticPr fontId="1"/>
  </si>
  <si>
    <t>ツイート3日前</t>
    <rPh sb="5" eb="6">
      <t>ニチ</t>
    </rPh>
    <rPh sb="6" eb="7">
      <t>マエ</t>
    </rPh>
    <phoneticPr fontId="1"/>
  </si>
  <si>
    <t>いつでも</t>
    <phoneticPr fontId="1"/>
  </si>
  <si>
    <t>フライヤー</t>
    <phoneticPr fontId="1"/>
  </si>
  <si>
    <t>劇中当パン</t>
    <rPh sb="0" eb="2">
      <t>ゲキチュウ</t>
    </rPh>
    <rPh sb="2" eb="3">
      <t>トウ</t>
    </rPh>
    <phoneticPr fontId="1"/>
  </si>
  <si>
    <t>立て看板デザイン</t>
    <rPh sb="0" eb="1">
      <t>タ</t>
    </rPh>
    <rPh sb="2" eb="4">
      <t>カンバン</t>
    </rPh>
    <phoneticPr fontId="1"/>
  </si>
  <si>
    <t>立て看板設営</t>
    <rPh sb="0" eb="1">
      <t>タ</t>
    </rPh>
    <rPh sb="2" eb="4">
      <t>カンバン</t>
    </rPh>
    <rPh sb="4" eb="6">
      <t>セツエイ</t>
    </rPh>
    <phoneticPr fontId="1"/>
  </si>
  <si>
    <t>10月31日に判断→11月14日</t>
    <rPh sb="2" eb="3">
      <t>ガツ</t>
    </rPh>
    <rPh sb="5" eb="6">
      <t>ニチ</t>
    </rPh>
    <rPh sb="7" eb="9">
      <t>ハンダン</t>
    </rPh>
    <rPh sb="12" eb="13">
      <t>ガツ</t>
    </rPh>
    <rPh sb="15" eb="16">
      <t>ニチ</t>
    </rPh>
    <phoneticPr fontId="1"/>
  </si>
  <si>
    <t>受け入れ無し</t>
    <rPh sb="0" eb="1">
      <t>ウ</t>
    </rPh>
    <rPh sb="2" eb="3">
      <t>イ</t>
    </rPh>
    <rPh sb="4" eb="5">
      <t>ナ</t>
    </rPh>
    <phoneticPr fontId="1"/>
  </si>
  <si>
    <t>一次</t>
    <rPh sb="0" eb="2">
      <t>イチジ</t>
    </rPh>
    <phoneticPr fontId="1"/>
  </si>
  <si>
    <t>HP</t>
    <phoneticPr fontId="1"/>
  </si>
  <si>
    <t>一次</t>
    <rPh sb="0" eb="2">
      <t>イチジ</t>
    </rPh>
    <phoneticPr fontId="1"/>
  </si>
  <si>
    <t>2020/10/31(済)</t>
    <rPh sb="11" eb="12">
      <t>スミ</t>
    </rPh>
    <phoneticPr fontId="1"/>
  </si>
  <si>
    <t>2020/10/28(済)</t>
    <rPh sb="11" eb="12">
      <t>スミ</t>
    </rPh>
    <phoneticPr fontId="1"/>
  </si>
  <si>
    <t>2020/10/20(済)</t>
    <rPh sb="11" eb="12">
      <t>スミ</t>
    </rPh>
    <phoneticPr fontId="1"/>
  </si>
  <si>
    <t>2020/10/20(済)</t>
    <phoneticPr fontId="1"/>
  </si>
  <si>
    <t>2020/10/18(済)</t>
    <phoneticPr fontId="1"/>
  </si>
  <si>
    <t>2020/10/31(済)</t>
    <phoneticPr fontId="1"/>
  </si>
  <si>
    <t>2020/10/23(済)</t>
    <phoneticPr fontId="1"/>
  </si>
  <si>
    <t>2020/11/7(済)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</si>
</sst>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37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56" fontId="0" fillId="0" borderId="46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56" fontId="0" fillId="0" borderId="40" xfId="0" applyNumberFormat="1" applyBorder="1" applyAlignment="1">
      <alignment horizontal="center" vertical="center"/>
    </xf>
    <xf numFmtId="56" fontId="0" fillId="0" borderId="22" xfId="0" applyNumberFormat="1" applyBorder="1" applyAlignment="1">
      <alignment horizontal="center" vertical="center"/>
    </xf>
    <xf numFmtId="56" fontId="0" fillId="0" borderId="14" xfId="0" applyNumberFormat="1" applyBorder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56" fontId="0" fillId="0" borderId="3" xfId="0" applyNumberFormat="1" applyBorder="1" applyAlignment="1">
      <alignment horizontal="center" vertical="center"/>
    </xf>
    <xf numFmtId="56" fontId="0" fillId="0" borderId="5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300A-4CCA-4CB8-A0A3-7D9B88D5F236}">
  <dimension ref="A1:N21"/>
  <sheetViews>
    <sheetView workbookViewId="0">
      <selection activeCell="C13" sqref="C13:E13"/>
    </sheetView>
  </sheetViews>
  <sheetFormatPr defaultRowHeight="18" x14ac:dyDescent="0.45"/>
  <sheetData>
    <row r="1" spans="1:14" ht="18.600000000000001" thickBot="1" x14ac:dyDescent="0.5"/>
    <row r="2" spans="1:14" ht="18.600000000000001" thickBot="1" x14ac:dyDescent="0.5">
      <c r="A2" s="5" t="s">
        <v>0</v>
      </c>
      <c r="B2" s="6"/>
      <c r="C2" s="7" t="s">
        <v>1</v>
      </c>
      <c r="D2" s="3"/>
      <c r="E2" s="4"/>
      <c r="F2" s="8" t="s">
        <v>2</v>
      </c>
      <c r="G2" s="9"/>
      <c r="H2" s="9"/>
      <c r="I2" s="9"/>
      <c r="J2" s="9"/>
      <c r="K2" s="9"/>
      <c r="L2" s="9"/>
      <c r="M2" s="9"/>
      <c r="N2" s="10"/>
    </row>
    <row r="3" spans="1:14" x14ac:dyDescent="0.45">
      <c r="A3" s="36" t="s">
        <v>3</v>
      </c>
      <c r="B3" s="36"/>
      <c r="C3" s="27">
        <v>0</v>
      </c>
      <c r="D3" s="37"/>
      <c r="E3" s="28"/>
      <c r="F3" s="23"/>
      <c r="G3" s="24"/>
      <c r="H3" s="24"/>
      <c r="I3" s="24"/>
      <c r="J3" s="24"/>
      <c r="K3" s="24"/>
      <c r="L3" s="24"/>
      <c r="M3" s="24"/>
      <c r="N3" s="32"/>
    </row>
    <row r="4" spans="1:14" x14ac:dyDescent="0.45">
      <c r="A4" s="24" t="s">
        <v>4</v>
      </c>
      <c r="B4" s="24"/>
      <c r="C4" s="21">
        <v>32000</v>
      </c>
      <c r="D4" s="35"/>
      <c r="E4" s="22"/>
      <c r="F4" s="23" t="s">
        <v>5</v>
      </c>
      <c r="G4" s="24"/>
      <c r="H4" s="24"/>
      <c r="I4" s="24"/>
      <c r="J4" s="24"/>
      <c r="K4" s="24"/>
      <c r="L4" s="24"/>
      <c r="M4" s="24"/>
      <c r="N4" s="32"/>
    </row>
    <row r="5" spans="1:14" x14ac:dyDescent="0.45">
      <c r="A5" s="24" t="s">
        <v>6</v>
      </c>
      <c r="B5" s="24"/>
      <c r="C5" s="21">
        <v>300</v>
      </c>
      <c r="D5" s="35"/>
      <c r="E5" s="22"/>
      <c r="F5" s="23" t="s">
        <v>7</v>
      </c>
      <c r="G5" s="24"/>
      <c r="H5" s="24"/>
      <c r="I5" s="24"/>
      <c r="J5" s="24"/>
      <c r="K5" s="24"/>
      <c r="L5" s="24"/>
      <c r="M5" s="24"/>
      <c r="N5" s="32"/>
    </row>
    <row r="6" spans="1:14" x14ac:dyDescent="0.45">
      <c r="A6" s="24" t="s">
        <v>8</v>
      </c>
      <c r="B6" s="24"/>
      <c r="C6" s="21">
        <v>0</v>
      </c>
      <c r="D6" s="35"/>
      <c r="E6" s="22"/>
      <c r="F6" s="23"/>
      <c r="G6" s="24"/>
      <c r="H6" s="24"/>
      <c r="I6" s="24"/>
      <c r="J6" s="24"/>
      <c r="K6" s="24"/>
      <c r="L6" s="24"/>
      <c r="M6" s="24"/>
      <c r="N6" s="32"/>
    </row>
    <row r="7" spans="1:14" x14ac:dyDescent="0.45">
      <c r="A7" s="24" t="s">
        <v>9</v>
      </c>
      <c r="B7" s="24"/>
      <c r="C7" s="24">
        <v>20000</v>
      </c>
      <c r="D7" s="24"/>
      <c r="E7" s="21"/>
      <c r="F7" s="23"/>
      <c r="G7" s="24"/>
      <c r="H7" s="24"/>
      <c r="I7" s="24"/>
      <c r="J7" s="24"/>
      <c r="K7" s="24"/>
      <c r="L7" s="24"/>
      <c r="M7" s="24"/>
      <c r="N7" s="32"/>
    </row>
    <row r="8" spans="1:14" x14ac:dyDescent="0.45">
      <c r="A8" s="24" t="s">
        <v>10</v>
      </c>
      <c r="B8" s="24"/>
      <c r="C8" s="24">
        <v>21000</v>
      </c>
      <c r="D8" s="24"/>
      <c r="E8" s="21"/>
      <c r="F8" s="23" t="s">
        <v>11</v>
      </c>
      <c r="G8" s="24"/>
      <c r="H8" s="24"/>
      <c r="I8" s="24"/>
      <c r="J8" s="24"/>
      <c r="K8" s="24"/>
      <c r="L8" s="24"/>
      <c r="M8" s="24"/>
      <c r="N8" s="32"/>
    </row>
    <row r="9" spans="1:14" x14ac:dyDescent="0.45">
      <c r="A9" s="24" t="s">
        <v>12</v>
      </c>
      <c r="B9" s="24"/>
      <c r="C9" s="24">
        <v>5000</v>
      </c>
      <c r="D9" s="24"/>
      <c r="E9" s="21"/>
      <c r="F9" s="23" t="s">
        <v>13</v>
      </c>
      <c r="G9" s="24"/>
      <c r="H9" s="24"/>
      <c r="I9" s="24"/>
      <c r="J9" s="24"/>
      <c r="K9" s="24"/>
      <c r="L9" s="24"/>
      <c r="M9" s="24"/>
      <c r="N9" s="32"/>
    </row>
    <row r="10" spans="1:14" ht="18.600000000000001" thickBot="1" x14ac:dyDescent="0.5">
      <c r="A10" s="33" t="s">
        <v>14</v>
      </c>
      <c r="B10" s="33"/>
      <c r="C10" s="33">
        <v>10000</v>
      </c>
      <c r="D10" s="33"/>
      <c r="E10" s="34"/>
      <c r="F10" s="12" t="s">
        <v>15</v>
      </c>
      <c r="G10" s="13"/>
      <c r="H10" s="13"/>
      <c r="I10" s="13"/>
      <c r="J10" s="13"/>
      <c r="K10" s="13"/>
      <c r="L10" s="13"/>
      <c r="M10" s="13"/>
      <c r="N10" s="14"/>
    </row>
    <row r="11" spans="1:14" ht="18.600000000000001" thickBot="1" x14ac:dyDescent="0.5">
      <c r="A11" s="5" t="s">
        <v>16</v>
      </c>
      <c r="B11" s="6"/>
      <c r="C11" s="6">
        <f>SUM(C3:E10)</f>
        <v>88300</v>
      </c>
      <c r="D11" s="6"/>
      <c r="E11" s="15"/>
      <c r="F11" s="16"/>
      <c r="G11" s="2"/>
      <c r="H11" s="2"/>
      <c r="I11" s="2"/>
      <c r="J11" s="2"/>
      <c r="K11" s="2"/>
      <c r="L11" s="2"/>
      <c r="M11" s="2"/>
      <c r="N11" s="2"/>
    </row>
    <row r="12" spans="1:14" x14ac:dyDescent="0.45">
      <c r="A12" s="29" t="s">
        <v>17</v>
      </c>
      <c r="B12" s="30"/>
      <c r="C12" s="30">
        <v>20000</v>
      </c>
      <c r="D12" s="30"/>
      <c r="E12" s="31"/>
      <c r="F12" s="2"/>
      <c r="G12" s="2"/>
      <c r="H12" s="2"/>
      <c r="I12" s="2"/>
      <c r="J12" s="2"/>
      <c r="K12" s="2"/>
      <c r="L12" s="2"/>
      <c r="M12" s="2"/>
      <c r="N12" s="2"/>
    </row>
    <row r="13" spans="1:14" ht="18.600000000000001" thickBot="1" x14ac:dyDescent="0.5">
      <c r="A13" s="12" t="s">
        <v>18</v>
      </c>
      <c r="B13" s="13"/>
      <c r="C13" s="13">
        <v>15000</v>
      </c>
      <c r="D13" s="13"/>
      <c r="E13" s="14"/>
      <c r="F13" s="2"/>
      <c r="G13" s="2"/>
      <c r="H13" s="2"/>
      <c r="I13" s="2"/>
      <c r="J13" s="2"/>
      <c r="K13" s="2"/>
      <c r="L13" s="2"/>
      <c r="M13" s="2"/>
      <c r="N13" s="2"/>
    </row>
    <row r="14" spans="1:14" ht="18.600000000000001" thickBot="1" x14ac:dyDescent="0.5">
      <c r="A14" s="5" t="s">
        <v>19</v>
      </c>
      <c r="B14" s="6"/>
      <c r="C14" s="6">
        <f>C11+C12+C13</f>
        <v>123300</v>
      </c>
      <c r="D14" s="6"/>
      <c r="E14" s="15"/>
      <c r="F14" s="16"/>
      <c r="G14" s="2"/>
      <c r="H14" s="2"/>
      <c r="I14" s="2"/>
      <c r="J14" s="2"/>
      <c r="K14" s="2"/>
      <c r="L14" s="2"/>
      <c r="M14" s="2"/>
      <c r="N14" s="2"/>
    </row>
    <row r="15" spans="1:14" ht="18.600000000000001" thickBot="1" x14ac:dyDescent="0.5">
      <c r="A15" s="2"/>
      <c r="B15" s="2"/>
      <c r="C15" s="2"/>
      <c r="D15" s="2"/>
      <c r="E15" s="2"/>
      <c r="F15" s="2"/>
      <c r="J15" s="2" t="s">
        <v>20</v>
      </c>
      <c r="K15" s="2"/>
      <c r="L15" s="2"/>
      <c r="M15" s="2"/>
    </row>
    <row r="16" spans="1:14" ht="18.600000000000001" thickBot="1" x14ac:dyDescent="0.5">
      <c r="A16" s="11" t="s">
        <v>21</v>
      </c>
      <c r="B16" s="3"/>
      <c r="C16" s="3" t="s">
        <v>22</v>
      </c>
      <c r="D16" s="3"/>
      <c r="E16" s="3"/>
      <c r="F16" s="3"/>
      <c r="G16" s="3"/>
      <c r="H16" s="4"/>
      <c r="J16" s="2">
        <f>(C14)/17</f>
        <v>7252.9411764705883</v>
      </c>
      <c r="K16" s="2"/>
      <c r="L16" s="2"/>
      <c r="M16" s="2"/>
    </row>
    <row r="17" spans="1:8" x14ac:dyDescent="0.45">
      <c r="A17" s="25"/>
      <c r="B17" s="26"/>
      <c r="C17" s="27" t="s">
        <v>23</v>
      </c>
      <c r="D17" s="26"/>
      <c r="E17" s="27" t="s">
        <v>24</v>
      </c>
      <c r="F17" s="26"/>
      <c r="G17" s="27" t="s">
        <v>25</v>
      </c>
      <c r="H17" s="28"/>
    </row>
    <row r="18" spans="1:8" x14ac:dyDescent="0.45">
      <c r="A18" s="19" t="s">
        <v>26</v>
      </c>
      <c r="B18" s="20"/>
      <c r="C18" s="21">
        <v>5</v>
      </c>
      <c r="D18" s="20"/>
      <c r="E18" s="21">
        <v>3000</v>
      </c>
      <c r="F18" s="20"/>
      <c r="G18" s="21">
        <f>C18*E18</f>
        <v>15000</v>
      </c>
      <c r="H18" s="22"/>
    </row>
    <row r="19" spans="1:8" x14ac:dyDescent="0.45">
      <c r="A19" s="19" t="s">
        <v>27</v>
      </c>
      <c r="B19" s="20"/>
      <c r="C19" s="21">
        <v>7</v>
      </c>
      <c r="D19" s="20"/>
      <c r="E19" s="21">
        <v>6000</v>
      </c>
      <c r="F19" s="20"/>
      <c r="G19" s="21">
        <f>C19*E19</f>
        <v>42000</v>
      </c>
      <c r="H19" s="22"/>
    </row>
    <row r="20" spans="1:8" x14ac:dyDescent="0.45">
      <c r="A20" s="23" t="s">
        <v>28</v>
      </c>
      <c r="B20" s="24"/>
      <c r="C20" s="24">
        <v>10</v>
      </c>
      <c r="D20" s="24"/>
      <c r="E20" s="24">
        <f>E19</f>
        <v>6000</v>
      </c>
      <c r="F20" s="24"/>
      <c r="G20" s="21">
        <f>C20*E20</f>
        <v>60000</v>
      </c>
      <c r="H20" s="22"/>
    </row>
    <row r="21" spans="1:8" ht="18.600000000000001" thickBot="1" x14ac:dyDescent="0.5">
      <c r="A21" s="12" t="s">
        <v>25</v>
      </c>
      <c r="B21" s="13"/>
      <c r="C21" s="13">
        <f>SUM(C18:D20)</f>
        <v>22</v>
      </c>
      <c r="D21" s="13"/>
      <c r="E21" s="13"/>
      <c r="F21" s="13"/>
      <c r="G21" s="17">
        <f>SUM(G18:H20)</f>
        <v>117000</v>
      </c>
      <c r="H21" s="18"/>
    </row>
  </sheetData>
  <mergeCells count="66">
    <mergeCell ref="A3:B3"/>
    <mergeCell ref="C3:E3"/>
    <mergeCell ref="F3:N3"/>
    <mergeCell ref="A4:B4"/>
    <mergeCell ref="C4:E4"/>
    <mergeCell ref="F4:N4"/>
    <mergeCell ref="A5:B5"/>
    <mergeCell ref="C5:E5"/>
    <mergeCell ref="F5:N5"/>
    <mergeCell ref="A6:B6"/>
    <mergeCell ref="C6:E6"/>
    <mergeCell ref="F6:N6"/>
    <mergeCell ref="A7:B7"/>
    <mergeCell ref="C7:E7"/>
    <mergeCell ref="F7:N7"/>
    <mergeCell ref="A8:B8"/>
    <mergeCell ref="C8:E8"/>
    <mergeCell ref="F8:N8"/>
    <mergeCell ref="A9:B9"/>
    <mergeCell ref="C9:E9"/>
    <mergeCell ref="F9:N9"/>
    <mergeCell ref="A10:B10"/>
    <mergeCell ref="C10:E10"/>
    <mergeCell ref="F10:N10"/>
    <mergeCell ref="A11:B11"/>
    <mergeCell ref="C11:E11"/>
    <mergeCell ref="F11:N11"/>
    <mergeCell ref="A12:B12"/>
    <mergeCell ref="C12:E12"/>
    <mergeCell ref="F12:N12"/>
    <mergeCell ref="A17:B17"/>
    <mergeCell ref="A18:B18"/>
    <mergeCell ref="C18:D18"/>
    <mergeCell ref="E18:F18"/>
    <mergeCell ref="G18:H18"/>
    <mergeCell ref="C17:D17"/>
    <mergeCell ref="E17:F17"/>
    <mergeCell ref="G17:H17"/>
    <mergeCell ref="A21:B21"/>
    <mergeCell ref="C21:D21"/>
    <mergeCell ref="E21:F21"/>
    <mergeCell ref="G21:H21"/>
    <mergeCell ref="A19:B19"/>
    <mergeCell ref="C19:D19"/>
    <mergeCell ref="E19:F19"/>
    <mergeCell ref="G19:H19"/>
    <mergeCell ref="A20:B20"/>
    <mergeCell ref="C20:D20"/>
    <mergeCell ref="E20:F20"/>
    <mergeCell ref="G20:H20"/>
    <mergeCell ref="C15:D15"/>
    <mergeCell ref="E15:F15"/>
    <mergeCell ref="C16:H16"/>
    <mergeCell ref="A2:B2"/>
    <mergeCell ref="C2:E2"/>
    <mergeCell ref="F2:N2"/>
    <mergeCell ref="A15:B15"/>
    <mergeCell ref="A16:B16"/>
    <mergeCell ref="J16:M16"/>
    <mergeCell ref="J15:M15"/>
    <mergeCell ref="A13:B13"/>
    <mergeCell ref="C13:E13"/>
    <mergeCell ref="F13:N13"/>
    <mergeCell ref="A14:B14"/>
    <mergeCell ref="C14:E14"/>
    <mergeCell ref="F14:N14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591D-470A-443D-87A5-CB32A585AD73}">
  <dimension ref="A1:N37"/>
  <sheetViews>
    <sheetView tabSelected="1" topLeftCell="A10" workbookViewId="0">
      <selection activeCell="K23" sqref="K23:L23"/>
    </sheetView>
  </sheetViews>
  <sheetFormatPr defaultRowHeight="18" x14ac:dyDescent="0.45"/>
  <sheetData>
    <row r="1" spans="1:14" ht="18.600000000000001" thickBot="1" x14ac:dyDescent="0.5"/>
    <row r="2" spans="1:14" ht="18.600000000000001" thickBot="1" x14ac:dyDescent="0.5">
      <c r="A2" s="5" t="s">
        <v>29</v>
      </c>
      <c r="B2" s="6"/>
      <c r="C2" s="53">
        <v>44165</v>
      </c>
      <c r="D2" s="15"/>
      <c r="F2" s="11" t="s">
        <v>30</v>
      </c>
      <c r="G2" s="54"/>
      <c r="H2" s="55">
        <v>44167</v>
      </c>
      <c r="I2" s="56"/>
    </row>
    <row r="3" spans="1:14" ht="18.600000000000001" thickBot="1" x14ac:dyDescent="0.5"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</row>
    <row r="4" spans="1:14" x14ac:dyDescent="0.45">
      <c r="A4" s="8" t="s">
        <v>31</v>
      </c>
      <c r="B4" s="10"/>
      <c r="C4" s="26" t="s">
        <v>32</v>
      </c>
      <c r="D4" s="30"/>
      <c r="E4" s="30" t="s">
        <v>33</v>
      </c>
      <c r="F4" s="30"/>
      <c r="G4" s="30"/>
      <c r="H4" s="30"/>
      <c r="I4" s="30"/>
      <c r="J4" s="30"/>
      <c r="K4" s="30"/>
      <c r="L4" s="30"/>
      <c r="M4" s="30"/>
      <c r="N4" s="31"/>
    </row>
    <row r="5" spans="1:14" ht="18.600000000000001" thickBot="1" x14ac:dyDescent="0.5">
      <c r="A5" s="44"/>
      <c r="B5" s="49"/>
      <c r="C5" s="50" t="s">
        <v>80</v>
      </c>
      <c r="D5" s="13"/>
      <c r="E5" s="51">
        <v>44148</v>
      </c>
      <c r="F5" s="13"/>
      <c r="G5" s="13"/>
      <c r="H5" s="13"/>
      <c r="I5" s="13"/>
      <c r="J5" s="13"/>
      <c r="K5" s="13"/>
      <c r="L5" s="13"/>
      <c r="M5" s="13"/>
      <c r="N5" s="14"/>
    </row>
    <row r="6" spans="1:14" ht="18.600000000000001" thickBot="1" x14ac:dyDescent="0.5">
      <c r="A6" s="46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43"/>
    </row>
    <row r="7" spans="1:14" x14ac:dyDescent="0.45">
      <c r="A7" s="8" t="s">
        <v>4</v>
      </c>
      <c r="B7" s="10"/>
      <c r="C7" s="26" t="s">
        <v>34</v>
      </c>
      <c r="D7" s="30"/>
      <c r="E7" s="30" t="s">
        <v>35</v>
      </c>
      <c r="F7" s="30"/>
      <c r="G7" s="27" t="s">
        <v>36</v>
      </c>
      <c r="H7" s="37"/>
      <c r="I7" s="37"/>
      <c r="J7" s="26"/>
      <c r="K7" s="30"/>
      <c r="L7" s="30"/>
      <c r="M7" s="30"/>
      <c r="N7" s="31"/>
    </row>
    <row r="8" spans="1:14" ht="18.600000000000001" thickBot="1" x14ac:dyDescent="0.5">
      <c r="A8" s="44"/>
      <c r="B8" s="49"/>
      <c r="C8" s="42" t="s">
        <v>37</v>
      </c>
      <c r="D8" s="13"/>
      <c r="E8" s="51">
        <v>44155</v>
      </c>
      <c r="F8" s="13"/>
      <c r="G8" s="13" t="s">
        <v>38</v>
      </c>
      <c r="H8" s="13"/>
      <c r="I8" s="13" t="s">
        <v>39</v>
      </c>
      <c r="J8" s="13"/>
      <c r="K8" s="13"/>
      <c r="L8" s="13"/>
      <c r="M8" s="13"/>
      <c r="N8" s="14"/>
    </row>
    <row r="9" spans="1:14" ht="18.600000000000001" thickBot="1" x14ac:dyDescent="0.5">
      <c r="A9" s="4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48"/>
    </row>
    <row r="10" spans="1:14" x14ac:dyDescent="0.45">
      <c r="A10" s="8" t="s">
        <v>6</v>
      </c>
      <c r="B10" s="10"/>
      <c r="C10" s="26" t="s">
        <v>40</v>
      </c>
      <c r="D10" s="30"/>
      <c r="E10" s="30"/>
      <c r="F10" s="30"/>
      <c r="G10" s="30" t="s">
        <v>41</v>
      </c>
      <c r="H10" s="30"/>
      <c r="I10" s="30" t="s">
        <v>42</v>
      </c>
      <c r="J10" s="30"/>
      <c r="K10" s="30" t="s">
        <v>43</v>
      </c>
      <c r="L10" s="30"/>
      <c r="M10" s="30"/>
      <c r="N10" s="31"/>
    </row>
    <row r="11" spans="1:14" ht="18.600000000000001" thickBot="1" x14ac:dyDescent="0.5">
      <c r="A11" s="44"/>
      <c r="B11" s="49"/>
      <c r="C11" s="50">
        <v>44152</v>
      </c>
      <c r="D11" s="13"/>
      <c r="E11" s="13"/>
      <c r="F11" s="13"/>
      <c r="G11" s="51">
        <v>44153</v>
      </c>
      <c r="H11" s="13"/>
      <c r="I11" s="51">
        <v>44155</v>
      </c>
      <c r="J11" s="13"/>
      <c r="K11" s="13" t="s">
        <v>44</v>
      </c>
      <c r="L11" s="13"/>
      <c r="M11" s="13"/>
      <c r="N11" s="14"/>
    </row>
    <row r="12" spans="1:14" ht="18.600000000000001" thickBot="1" x14ac:dyDescent="0.5">
      <c r="A12" s="46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43"/>
    </row>
    <row r="13" spans="1:14" x14ac:dyDescent="0.45">
      <c r="A13" s="8" t="s">
        <v>8</v>
      </c>
      <c r="B13" s="10"/>
      <c r="C13" s="26" t="s">
        <v>45</v>
      </c>
      <c r="D13" s="30"/>
      <c r="E13" s="30" t="s">
        <v>46</v>
      </c>
      <c r="F13" s="30"/>
      <c r="G13" s="30" t="s">
        <v>47</v>
      </c>
      <c r="H13" s="30"/>
      <c r="I13" s="30" t="s">
        <v>42</v>
      </c>
      <c r="J13" s="30"/>
      <c r="K13" s="30"/>
      <c r="L13" s="30"/>
      <c r="M13" s="30"/>
      <c r="N13" s="31"/>
    </row>
    <row r="14" spans="1:14" ht="18.600000000000001" thickBot="1" x14ac:dyDescent="0.5">
      <c r="A14" s="44"/>
      <c r="B14" s="49"/>
      <c r="C14" s="50" t="s">
        <v>79</v>
      </c>
      <c r="D14" s="13"/>
      <c r="E14" s="51" t="s">
        <v>81</v>
      </c>
      <c r="F14" s="13"/>
      <c r="G14" s="51">
        <v>44155</v>
      </c>
      <c r="H14" s="13"/>
      <c r="I14" s="51">
        <v>44155</v>
      </c>
      <c r="J14" s="13"/>
      <c r="K14" s="13"/>
      <c r="L14" s="13"/>
      <c r="M14" s="13"/>
      <c r="N14" s="14"/>
    </row>
    <row r="15" spans="1:14" ht="18.600000000000001" thickBot="1" x14ac:dyDescent="0.5">
      <c r="A15" s="46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43"/>
    </row>
    <row r="16" spans="1:14" x14ac:dyDescent="0.45">
      <c r="A16" s="8" t="s">
        <v>48</v>
      </c>
      <c r="B16" s="10"/>
      <c r="C16" s="26" t="s">
        <v>49</v>
      </c>
      <c r="D16" s="30"/>
      <c r="E16" s="30" t="s">
        <v>42</v>
      </c>
      <c r="F16" s="30"/>
      <c r="G16" s="30"/>
      <c r="H16" s="30"/>
      <c r="I16" s="30"/>
      <c r="J16" s="30"/>
      <c r="K16" s="30"/>
      <c r="L16" s="30"/>
      <c r="M16" s="30"/>
      <c r="N16" s="31"/>
    </row>
    <row r="17" spans="1:14" ht="18.600000000000001" thickBot="1" x14ac:dyDescent="0.5">
      <c r="A17" s="44"/>
      <c r="B17" s="49"/>
      <c r="C17" s="42" t="s">
        <v>50</v>
      </c>
      <c r="D17" s="13"/>
      <c r="E17" s="51">
        <v>44155</v>
      </c>
      <c r="F17" s="13"/>
      <c r="G17" s="13"/>
      <c r="H17" s="13"/>
      <c r="I17" s="13"/>
      <c r="J17" s="13"/>
      <c r="K17" s="13"/>
      <c r="L17" s="13"/>
      <c r="M17" s="13"/>
      <c r="N17" s="14"/>
    </row>
    <row r="18" spans="1:14" ht="18.600000000000001" thickBot="1" x14ac:dyDescent="0.5">
      <c r="A18" s="46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x14ac:dyDescent="0.45">
      <c r="A19" s="8" t="s">
        <v>9</v>
      </c>
      <c r="B19" s="10"/>
      <c r="C19" s="26" t="s">
        <v>51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1"/>
    </row>
    <row r="20" spans="1:14" ht="18.600000000000001" thickBot="1" x14ac:dyDescent="0.5">
      <c r="A20" s="44"/>
      <c r="B20" s="49"/>
      <c r="C20" s="50" t="s">
        <v>78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4"/>
    </row>
    <row r="21" spans="1:14" ht="18.600000000000001" thickBot="1" x14ac:dyDescent="0.5">
      <c r="A21" s="46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43"/>
    </row>
    <row r="22" spans="1:14" x14ac:dyDescent="0.45">
      <c r="A22" s="8" t="s">
        <v>10</v>
      </c>
      <c r="B22" s="43"/>
      <c r="C22" s="30" t="s">
        <v>52</v>
      </c>
      <c r="D22" s="30"/>
      <c r="E22" s="30" t="s">
        <v>53</v>
      </c>
      <c r="F22" s="30"/>
      <c r="G22" s="30" t="s">
        <v>54</v>
      </c>
      <c r="H22" s="30"/>
      <c r="I22" s="30" t="s">
        <v>55</v>
      </c>
      <c r="J22" s="30"/>
      <c r="K22" s="30" t="s">
        <v>56</v>
      </c>
      <c r="L22" s="30"/>
      <c r="M22" s="30" t="s">
        <v>57</v>
      </c>
      <c r="N22" s="31"/>
    </row>
    <row r="23" spans="1:14" x14ac:dyDescent="0.45">
      <c r="A23" s="16"/>
      <c r="B23" s="48"/>
      <c r="C23" s="52" t="s">
        <v>76</v>
      </c>
      <c r="D23" s="24"/>
      <c r="E23" s="52" t="s">
        <v>77</v>
      </c>
      <c r="F23" s="24"/>
      <c r="G23" s="52" t="s">
        <v>77</v>
      </c>
      <c r="H23" s="24"/>
      <c r="I23" s="52">
        <v>44128</v>
      </c>
      <c r="J23" s="24"/>
      <c r="K23" s="52">
        <v>44149</v>
      </c>
      <c r="L23" s="24"/>
      <c r="M23" s="24" t="s">
        <v>58</v>
      </c>
      <c r="N23" s="32"/>
    </row>
    <row r="24" spans="1:14" x14ac:dyDescent="0.45">
      <c r="A24" s="16"/>
      <c r="B24" s="48"/>
      <c r="C24" s="24" t="s">
        <v>59</v>
      </c>
      <c r="D24" s="24"/>
      <c r="E24" s="24" t="s">
        <v>60</v>
      </c>
      <c r="F24" s="24"/>
      <c r="G24" s="24" t="s">
        <v>61</v>
      </c>
      <c r="H24" s="24"/>
      <c r="I24" s="24"/>
      <c r="J24" s="24"/>
      <c r="K24" s="24" t="s">
        <v>62</v>
      </c>
      <c r="L24" s="24"/>
      <c r="M24" s="24" t="s">
        <v>43</v>
      </c>
      <c r="N24" s="32"/>
    </row>
    <row r="25" spans="1:14" ht="18.600000000000001" thickBot="1" x14ac:dyDescent="0.5">
      <c r="A25" s="44"/>
      <c r="B25" s="45"/>
      <c r="C25" s="51">
        <v>44149</v>
      </c>
      <c r="D25" s="13"/>
      <c r="E25" s="51">
        <v>44163</v>
      </c>
      <c r="F25" s="13"/>
      <c r="G25" s="51">
        <v>44170</v>
      </c>
      <c r="H25" s="13"/>
      <c r="I25" s="13"/>
      <c r="J25" s="13"/>
      <c r="K25" s="13" t="s">
        <v>63</v>
      </c>
      <c r="L25" s="13"/>
      <c r="M25" s="13" t="s">
        <v>64</v>
      </c>
      <c r="N25" s="14"/>
    </row>
    <row r="26" spans="1:14" ht="18.600000000000001" thickBot="1" x14ac:dyDescent="0.5">
      <c r="A26" s="46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43"/>
    </row>
    <row r="27" spans="1:14" x14ac:dyDescent="0.45">
      <c r="A27" s="8" t="s">
        <v>12</v>
      </c>
      <c r="B27" s="10"/>
      <c r="C27" s="26" t="s">
        <v>65</v>
      </c>
      <c r="D27" s="30"/>
      <c r="E27" s="30" t="s">
        <v>66</v>
      </c>
      <c r="F27" s="30"/>
      <c r="G27" s="30"/>
      <c r="H27" s="30"/>
      <c r="I27" s="30" t="s">
        <v>67</v>
      </c>
      <c r="J27" s="30"/>
      <c r="K27" s="30" t="s">
        <v>68</v>
      </c>
      <c r="L27" s="30"/>
      <c r="M27" s="30" t="s">
        <v>43</v>
      </c>
      <c r="N27" s="31"/>
    </row>
    <row r="28" spans="1:14" ht="18.600000000000001" thickBot="1" x14ac:dyDescent="0.5">
      <c r="A28" s="44"/>
      <c r="B28" s="49"/>
      <c r="C28" s="50" t="s">
        <v>75</v>
      </c>
      <c r="D28" s="13"/>
      <c r="E28" s="13" t="s">
        <v>69</v>
      </c>
      <c r="F28" s="13"/>
      <c r="G28" s="13"/>
      <c r="H28" s="13"/>
      <c r="I28" s="51">
        <v>44149</v>
      </c>
      <c r="J28" s="13"/>
      <c r="K28" s="51">
        <v>44157</v>
      </c>
      <c r="L28" s="13"/>
      <c r="M28" s="13" t="s">
        <v>70</v>
      </c>
      <c r="N28" s="14"/>
    </row>
    <row r="29" spans="1:14" ht="18.600000000000001" thickBot="1" x14ac:dyDescent="0.5">
      <c r="A29" s="4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48"/>
    </row>
    <row r="30" spans="1:14" x14ac:dyDescent="0.45">
      <c r="A30" s="8" t="s">
        <v>14</v>
      </c>
      <c r="B30" s="10"/>
      <c r="C30" s="26" t="s">
        <v>71</v>
      </c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1"/>
    </row>
    <row r="31" spans="1:14" ht="18.600000000000001" thickBot="1" x14ac:dyDescent="0.5">
      <c r="A31" s="44"/>
      <c r="B31" s="49"/>
      <c r="C31" s="50">
        <v>44156</v>
      </c>
      <c r="D31" s="13"/>
      <c r="E31" s="13"/>
      <c r="F31" s="13"/>
      <c r="G31" s="13"/>
      <c r="H31" s="13"/>
      <c r="I31" s="1"/>
      <c r="J31" s="1"/>
      <c r="K31" s="1"/>
      <c r="L31" s="1"/>
      <c r="M31" s="13"/>
      <c r="N31" s="14"/>
    </row>
    <row r="32" spans="1:14" ht="18.600000000000001" thickBot="1" x14ac:dyDescent="0.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 x14ac:dyDescent="0.45">
      <c r="A33" s="8" t="s">
        <v>72</v>
      </c>
      <c r="B33" s="43"/>
      <c r="C33" s="46" t="s">
        <v>73</v>
      </c>
      <c r="D33" s="43"/>
      <c r="E33" s="30"/>
      <c r="F33" s="30"/>
      <c r="G33" s="30"/>
      <c r="H33" s="30"/>
      <c r="I33" s="27"/>
      <c r="J33" s="26"/>
      <c r="K33" s="30"/>
      <c r="L33" s="30"/>
      <c r="M33" s="30"/>
      <c r="N33" s="31"/>
    </row>
    <row r="34" spans="1:14" ht="18.600000000000001" thickBot="1" x14ac:dyDescent="0.5">
      <c r="A34" s="44"/>
      <c r="B34" s="45"/>
      <c r="C34" s="40" t="s">
        <v>74</v>
      </c>
      <c r="D34" s="41"/>
      <c r="E34" s="17"/>
      <c r="F34" s="42"/>
      <c r="G34" s="17"/>
      <c r="H34" s="42"/>
      <c r="I34" s="17"/>
      <c r="J34" s="42"/>
      <c r="K34" s="17"/>
      <c r="L34" s="42"/>
      <c r="M34" s="17"/>
      <c r="N34" s="18"/>
    </row>
    <row r="35" spans="1:14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38"/>
      <c r="N35" s="38"/>
    </row>
    <row r="36" spans="1:14" x14ac:dyDescent="0.45">
      <c r="I36" s="2"/>
      <c r="J36" s="2"/>
      <c r="K36" s="2"/>
      <c r="L36" s="2"/>
      <c r="M36" s="39"/>
      <c r="N36" s="39"/>
    </row>
    <row r="37" spans="1:14" x14ac:dyDescent="0.45">
      <c r="I37" s="2"/>
      <c r="J37" s="2"/>
    </row>
  </sheetData>
  <mergeCells count="158">
    <mergeCell ref="K4:L4"/>
    <mergeCell ref="M4:N4"/>
    <mergeCell ref="C5:D5"/>
    <mergeCell ref="E5:F5"/>
    <mergeCell ref="G5:H5"/>
    <mergeCell ref="I5:J5"/>
    <mergeCell ref="K5:L5"/>
    <mergeCell ref="M5:N5"/>
    <mergeCell ref="A2:B2"/>
    <mergeCell ref="C2:D2"/>
    <mergeCell ref="F2:G2"/>
    <mergeCell ref="H2:I2"/>
    <mergeCell ref="B3:N3"/>
    <mergeCell ref="A4:B5"/>
    <mergeCell ref="C4:D4"/>
    <mergeCell ref="E4:F4"/>
    <mergeCell ref="G4:H4"/>
    <mergeCell ref="I4:J4"/>
    <mergeCell ref="A6:N6"/>
    <mergeCell ref="A7:B8"/>
    <mergeCell ref="C7:D7"/>
    <mergeCell ref="E7:F7"/>
    <mergeCell ref="G7:J7"/>
    <mergeCell ref="K7:L7"/>
    <mergeCell ref="M7:N7"/>
    <mergeCell ref="C8:D8"/>
    <mergeCell ref="E8:F8"/>
    <mergeCell ref="G8:H8"/>
    <mergeCell ref="C11:F11"/>
    <mergeCell ref="G11:H11"/>
    <mergeCell ref="I11:J11"/>
    <mergeCell ref="K11:L11"/>
    <mergeCell ref="M11:N11"/>
    <mergeCell ref="A12:N12"/>
    <mergeCell ref="I8:J8"/>
    <mergeCell ref="K8:L8"/>
    <mergeCell ref="M8:N8"/>
    <mergeCell ref="A9:N9"/>
    <mergeCell ref="A10:B11"/>
    <mergeCell ref="C10:F10"/>
    <mergeCell ref="G10:H10"/>
    <mergeCell ref="I10:J10"/>
    <mergeCell ref="K10:L10"/>
    <mergeCell ref="M10:N10"/>
    <mergeCell ref="M13:N13"/>
    <mergeCell ref="C14:D14"/>
    <mergeCell ref="E14:F14"/>
    <mergeCell ref="G14:H14"/>
    <mergeCell ref="I14:J14"/>
    <mergeCell ref="K14:L14"/>
    <mergeCell ref="M14:N14"/>
    <mergeCell ref="A13:B14"/>
    <mergeCell ref="C13:D13"/>
    <mergeCell ref="E13:F13"/>
    <mergeCell ref="G13:H13"/>
    <mergeCell ref="I13:J13"/>
    <mergeCell ref="K13:L13"/>
    <mergeCell ref="A15:N15"/>
    <mergeCell ref="A16:B17"/>
    <mergeCell ref="C16:D16"/>
    <mergeCell ref="E16:F16"/>
    <mergeCell ref="G16:H16"/>
    <mergeCell ref="I16:J16"/>
    <mergeCell ref="K16:L16"/>
    <mergeCell ref="M16:N16"/>
    <mergeCell ref="C17:D17"/>
    <mergeCell ref="E17:F17"/>
    <mergeCell ref="K19:L19"/>
    <mergeCell ref="M19:N19"/>
    <mergeCell ref="C20:D20"/>
    <mergeCell ref="E20:F20"/>
    <mergeCell ref="G20:H20"/>
    <mergeCell ref="I20:J20"/>
    <mergeCell ref="K20:L20"/>
    <mergeCell ref="M20:N20"/>
    <mergeCell ref="G17:H17"/>
    <mergeCell ref="I17:J17"/>
    <mergeCell ref="K17:L17"/>
    <mergeCell ref="M17:N17"/>
    <mergeCell ref="A18:N18"/>
    <mergeCell ref="A19:B20"/>
    <mergeCell ref="C19:D19"/>
    <mergeCell ref="E19:F19"/>
    <mergeCell ref="G19:H19"/>
    <mergeCell ref="I19:J19"/>
    <mergeCell ref="A21:N21"/>
    <mergeCell ref="A22:B25"/>
    <mergeCell ref="C22:D22"/>
    <mergeCell ref="E22:F22"/>
    <mergeCell ref="G22:H22"/>
    <mergeCell ref="I22:J22"/>
    <mergeCell ref="K22:L22"/>
    <mergeCell ref="M22:N22"/>
    <mergeCell ref="C23:D23"/>
    <mergeCell ref="E23:F23"/>
    <mergeCell ref="C25:D25"/>
    <mergeCell ref="E25:F25"/>
    <mergeCell ref="G25:J25"/>
    <mergeCell ref="K25:L25"/>
    <mergeCell ref="M25:N25"/>
    <mergeCell ref="A26:N26"/>
    <mergeCell ref="G23:H23"/>
    <mergeCell ref="I23:J23"/>
    <mergeCell ref="K23:L23"/>
    <mergeCell ref="M23:N23"/>
    <mergeCell ref="C24:D24"/>
    <mergeCell ref="E24:F24"/>
    <mergeCell ref="G24:J24"/>
    <mergeCell ref="K24:L24"/>
    <mergeCell ref="M24:N24"/>
    <mergeCell ref="M28:N28"/>
    <mergeCell ref="A29:N29"/>
    <mergeCell ref="A30:B31"/>
    <mergeCell ref="C30:D30"/>
    <mergeCell ref="E30:F30"/>
    <mergeCell ref="G30:H30"/>
    <mergeCell ref="I30:J30"/>
    <mergeCell ref="K30:L30"/>
    <mergeCell ref="M30:N30"/>
    <mergeCell ref="C31:D31"/>
    <mergeCell ref="A27:B28"/>
    <mergeCell ref="C27:D27"/>
    <mergeCell ref="E27:H27"/>
    <mergeCell ref="I27:J27"/>
    <mergeCell ref="K27:L27"/>
    <mergeCell ref="M27:N27"/>
    <mergeCell ref="C28:D28"/>
    <mergeCell ref="E28:H28"/>
    <mergeCell ref="I28:J28"/>
    <mergeCell ref="K28:L28"/>
    <mergeCell ref="M33:N33"/>
    <mergeCell ref="C34:D34"/>
    <mergeCell ref="E34:F34"/>
    <mergeCell ref="G34:H34"/>
    <mergeCell ref="I34:J34"/>
    <mergeCell ref="K34:L34"/>
    <mergeCell ref="M34:N34"/>
    <mergeCell ref="E31:F31"/>
    <mergeCell ref="G31:H31"/>
    <mergeCell ref="M31:N31"/>
    <mergeCell ref="A32:N32"/>
    <mergeCell ref="A33:B34"/>
    <mergeCell ref="C33:D33"/>
    <mergeCell ref="E33:F33"/>
    <mergeCell ref="G33:H33"/>
    <mergeCell ref="I33:J33"/>
    <mergeCell ref="K33:L33"/>
    <mergeCell ref="M35:N35"/>
    <mergeCell ref="I36:J36"/>
    <mergeCell ref="K36:L36"/>
    <mergeCell ref="M36:N36"/>
    <mergeCell ref="I37:J37"/>
    <mergeCell ref="A35:B35"/>
    <mergeCell ref="C35:D35"/>
    <mergeCell ref="E35:F35"/>
    <mergeCell ref="G35:H35"/>
    <mergeCell ref="I35:J35"/>
    <mergeCell ref="K35:L3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予算・公演費</vt:lpstr>
      <vt:lpstr>締め切り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佐藤一歩</dc:creator>
  <cp:lastModifiedBy>佐藤一歩</cp:lastModifiedBy>
  <dcterms:created xsi:type="dcterms:W3CDTF">2020-10-17T04:35:19Z</dcterms:created>
  <dcterms:modified xsi:type="dcterms:W3CDTF">2020-11-08T14:57:06Z</dcterms:modified>
</cp:coreProperties>
</file>