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e4172e0e314a6c/ドキュメント/2019夏公演/"/>
    </mc:Choice>
  </mc:AlternateContent>
  <xr:revisionPtr revIDLastSave="8" documentId="8_{3154A1AF-8B66-4AD1-9CC5-938CC642E2DF}" xr6:coauthVersionLast="43" xr6:coauthVersionMax="43" xr10:uidLastSave="{C7789739-EF9A-4E8A-997E-6710E7A9C7B1}"/>
  <bookViews>
    <workbookView xWindow="-110" yWindow="-110" windowWidth="22780" windowHeight="14660" xr2:uid="{CB7015D1-4B7E-4599-AFCA-46F131EF7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</calcChain>
</file>

<file path=xl/sharedStrings.xml><?xml version="1.0" encoding="utf-8"?>
<sst xmlns="http://schemas.openxmlformats.org/spreadsheetml/2006/main" count="40" uniqueCount="40">
  <si>
    <t>公演名</t>
    <rPh sb="0" eb="2">
      <t>コウエン</t>
    </rPh>
    <rPh sb="2" eb="3">
      <t>メイ</t>
    </rPh>
    <phoneticPr fontId="1"/>
  </si>
  <si>
    <t>２０１８夏公演</t>
    <rPh sb="4" eb="5">
      <t>ナツ</t>
    </rPh>
    <rPh sb="5" eb="7">
      <t>コウエン</t>
    </rPh>
    <phoneticPr fontId="1"/>
  </si>
  <si>
    <t>２０１８秋公演</t>
    <rPh sb="4" eb="5">
      <t>アキ</t>
    </rPh>
    <rPh sb="5" eb="7">
      <t>コウエン</t>
    </rPh>
    <phoneticPr fontId="1"/>
  </si>
  <si>
    <t>２０１８冬公演</t>
    <rPh sb="4" eb="5">
      <t>フユ</t>
    </rPh>
    <rPh sb="5" eb="7">
      <t>コウエン</t>
    </rPh>
    <phoneticPr fontId="1"/>
  </si>
  <si>
    <t>２０１９春公演</t>
    <rPh sb="4" eb="5">
      <t>ハル</t>
    </rPh>
    <rPh sb="5" eb="7">
      <t>コウエン</t>
    </rPh>
    <phoneticPr fontId="1"/>
  </si>
  <si>
    <t>稽古場</t>
    <rPh sb="0" eb="2">
      <t>ケイコ</t>
    </rPh>
    <rPh sb="2" eb="3">
      <t>バ</t>
    </rPh>
    <phoneticPr fontId="1"/>
  </si>
  <si>
    <t>音響</t>
  </si>
  <si>
    <t>音響</t>
    <rPh sb="0" eb="2">
      <t>オンキョウ</t>
    </rPh>
    <phoneticPr fontId="1"/>
  </si>
  <si>
    <t>照明</t>
    <rPh sb="0" eb="2">
      <t>ショウメイ</t>
    </rPh>
    <phoneticPr fontId="1"/>
  </si>
  <si>
    <t>舞台美術</t>
    <rPh sb="0" eb="2">
      <t>ブタイ</t>
    </rPh>
    <rPh sb="2" eb="4">
      <t>ビジュツ</t>
    </rPh>
    <phoneticPr fontId="1"/>
  </si>
  <si>
    <t>衣装</t>
    <rPh sb="0" eb="2">
      <t>イショウ</t>
    </rPh>
    <phoneticPr fontId="1"/>
  </si>
  <si>
    <t>宣伝美術</t>
    <rPh sb="0" eb="2">
      <t>センデン</t>
    </rPh>
    <rPh sb="2" eb="4">
      <t>ビジュツ</t>
    </rPh>
    <phoneticPr fontId="1"/>
  </si>
  <si>
    <t>制作</t>
    <rPh sb="0" eb="2">
      <t>セイサク</t>
    </rPh>
    <phoneticPr fontId="1"/>
  </si>
  <si>
    <t>小道具</t>
    <rPh sb="0" eb="3">
      <t>コドウグ</t>
    </rPh>
    <phoneticPr fontId="1"/>
  </si>
  <si>
    <t>雑費</t>
    <rPh sb="0" eb="2">
      <t>ザッピ</t>
    </rPh>
    <phoneticPr fontId="1"/>
  </si>
  <si>
    <t>予備</t>
    <rPh sb="0" eb="2">
      <t>ヨビ</t>
    </rPh>
    <phoneticPr fontId="1"/>
  </si>
  <si>
    <t>用途</t>
    <rPh sb="0" eb="2">
      <t>ヨウト</t>
    </rPh>
    <phoneticPr fontId="1"/>
  </si>
  <si>
    <t>外小屋代</t>
    <rPh sb="0" eb="1">
      <t>ソト</t>
    </rPh>
    <rPh sb="1" eb="3">
      <t>ゴヤ</t>
    </rPh>
    <rPh sb="3" eb="4">
      <t>ダイ</t>
    </rPh>
    <phoneticPr fontId="1"/>
  </si>
  <si>
    <t>照明レンタル</t>
    <rPh sb="0" eb="2">
      <t>ショウメイ</t>
    </rPh>
    <phoneticPr fontId="1"/>
  </si>
  <si>
    <t>劇中で必要なもの</t>
    <rPh sb="0" eb="2">
      <t>ゲキチュウ</t>
    </rPh>
    <rPh sb="3" eb="5">
      <t>ヒツヨウ</t>
    </rPh>
    <phoneticPr fontId="1"/>
  </si>
  <si>
    <t>服、メイク道具</t>
  </si>
  <si>
    <t>DM</t>
    <phoneticPr fontId="1"/>
  </si>
  <si>
    <t>合計</t>
    <rPh sb="0" eb="2">
      <t>ゴウケイ</t>
    </rPh>
    <phoneticPr fontId="1"/>
  </si>
  <si>
    <t>フライヤー、当パン印刷</t>
    <rPh sb="6" eb="7">
      <t>トウ</t>
    </rPh>
    <rPh sb="9" eb="11">
      <t>インサツ</t>
    </rPh>
    <phoneticPr fontId="1"/>
  </si>
  <si>
    <t>SDカード、交通費、封筒</t>
    <rPh sb="6" eb="9">
      <t>コウツウヒ</t>
    </rPh>
    <rPh sb="10" eb="12">
      <t>フウトウ</t>
    </rPh>
    <phoneticPr fontId="1"/>
  </si>
  <si>
    <t>郵便書簡、普通紙</t>
    <rPh sb="0" eb="2">
      <t>ユウビン</t>
    </rPh>
    <rPh sb="2" eb="4">
      <t>ショカン</t>
    </rPh>
    <rPh sb="5" eb="8">
      <t>フツウシ</t>
    </rPh>
    <phoneticPr fontId="1"/>
  </si>
  <si>
    <t>木材、ペンキ、床材、ハケ・ローラー</t>
    <rPh sb="0" eb="2">
      <t>モクザイ</t>
    </rPh>
    <rPh sb="7" eb="9">
      <t>ユカザイ</t>
    </rPh>
    <phoneticPr fontId="1"/>
  </si>
  <si>
    <t>備考</t>
    <rPh sb="0" eb="2">
      <t>ビコウ</t>
    </rPh>
    <phoneticPr fontId="1"/>
  </si>
  <si>
    <t>夏+5200秋+3100冬-5400</t>
    <rPh sb="0" eb="1">
      <t>ナツ</t>
    </rPh>
    <rPh sb="6" eb="7">
      <t>アキ</t>
    </rPh>
    <rPh sb="12" eb="13">
      <t>フユ</t>
    </rPh>
    <phoneticPr fontId="1"/>
  </si>
  <si>
    <t>夏0秋0冬-2814</t>
    <rPh sb="0" eb="1">
      <t>ナツ</t>
    </rPh>
    <rPh sb="2" eb="3">
      <t>アキ</t>
    </rPh>
    <rPh sb="4" eb="5">
      <t>フユ</t>
    </rPh>
    <phoneticPr fontId="1"/>
  </si>
  <si>
    <t>夏+1680秋-17427冬+496</t>
    <rPh sb="0" eb="1">
      <t>ナツ</t>
    </rPh>
    <rPh sb="6" eb="7">
      <t>アキ</t>
    </rPh>
    <rPh sb="13" eb="14">
      <t>フユ</t>
    </rPh>
    <phoneticPr fontId="1"/>
  </si>
  <si>
    <t>夏+6302秋+9339冬+25900</t>
    <rPh sb="6" eb="7">
      <t>アキ</t>
    </rPh>
    <rPh sb="12" eb="13">
      <t>フユ</t>
    </rPh>
    <phoneticPr fontId="1"/>
  </si>
  <si>
    <t>夏+14807秋-45950冬+4496</t>
    <rPh sb="0" eb="1">
      <t>ナツ</t>
    </rPh>
    <rPh sb="7" eb="8">
      <t>アキ</t>
    </rPh>
    <rPh sb="14" eb="15">
      <t>フユ</t>
    </rPh>
    <phoneticPr fontId="1"/>
  </si>
  <si>
    <t>夏+1181秋冬-404</t>
    <rPh sb="7" eb="8">
      <t>フユ</t>
    </rPh>
    <phoneticPr fontId="1"/>
  </si>
  <si>
    <t>夏+2416秋+1750冬-2551</t>
    <rPh sb="0" eb="1">
      <t>ナツ</t>
    </rPh>
    <rPh sb="6" eb="7">
      <t>アキ</t>
    </rPh>
    <rPh sb="12" eb="13">
      <t>フユ</t>
    </rPh>
    <phoneticPr fontId="1"/>
  </si>
  <si>
    <t>夏+3480秋+2538冬+1123</t>
    <rPh sb="0" eb="1">
      <t>ナツ</t>
    </rPh>
    <rPh sb="6" eb="7">
      <t>アキ</t>
    </rPh>
    <rPh sb="12" eb="13">
      <t>フユ</t>
    </rPh>
    <phoneticPr fontId="1"/>
  </si>
  <si>
    <t>夏+180秋+180冬+282</t>
  </si>
  <si>
    <t>夏+340秋+1402冬+6809</t>
    <rPh sb="0" eb="1">
      <t>ナツ</t>
    </rPh>
    <rPh sb="5" eb="6">
      <t>アキ</t>
    </rPh>
    <rPh sb="11" eb="12">
      <t>フユ</t>
    </rPh>
    <phoneticPr fontId="1"/>
  </si>
  <si>
    <t>冬+12000</t>
    <rPh sb="0" eb="1">
      <t>フユ</t>
    </rPh>
    <phoneticPr fontId="1"/>
  </si>
  <si>
    <t>ビス、養生、タッカー、絆創膏など</t>
    <rPh sb="3" eb="5">
      <t>ヨウジョウ</t>
    </rPh>
    <rPh sb="11" eb="14">
      <t>バンソウコウ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</si>
</sst>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758B-EC1E-4463-8CDC-806292166BFF}">
  <dimension ref="A1:G13"/>
  <sheetViews>
    <sheetView tabSelected="1" workbookViewId="0">
      <selection activeCell="G14" sqref="G14"/>
    </sheetView>
  </sheetViews>
  <sheetFormatPr defaultRowHeight="18" x14ac:dyDescent="0.55000000000000004"/>
  <cols>
    <col min="1" max="1" width="16.08203125" customWidth="1"/>
    <col min="2" max="2" width="17.58203125" customWidth="1"/>
    <col min="3" max="3" width="17.33203125" customWidth="1"/>
    <col min="4" max="4" width="17.6640625" customWidth="1"/>
    <col min="5" max="5" width="17.4140625" customWidth="1"/>
    <col min="6" max="6" width="35.5" customWidth="1"/>
    <col min="7" max="7" width="34.6640625" customWidth="1"/>
    <col min="8" max="8" width="17.1640625" customWidth="1"/>
    <col min="9" max="11" width="17.5" customWidth="1"/>
    <col min="12" max="12" width="17.33203125" customWidth="1"/>
    <col min="13" max="13" width="17.2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27</v>
      </c>
    </row>
    <row r="2" spans="1:7" x14ac:dyDescent="0.55000000000000004">
      <c r="A2" t="s">
        <v>5</v>
      </c>
      <c r="B2">
        <v>10000</v>
      </c>
      <c r="C2">
        <v>8000</v>
      </c>
      <c r="D2">
        <v>10000</v>
      </c>
      <c r="E2">
        <v>15000</v>
      </c>
      <c r="F2" t="s">
        <v>17</v>
      </c>
      <c r="G2" t="s">
        <v>28</v>
      </c>
    </row>
    <row r="3" spans="1:7" x14ac:dyDescent="0.55000000000000004">
      <c r="A3" t="s">
        <v>7</v>
      </c>
      <c r="B3">
        <v>0</v>
      </c>
      <c r="C3">
        <v>0</v>
      </c>
      <c r="D3">
        <v>0</v>
      </c>
      <c r="E3">
        <v>0</v>
      </c>
      <c r="G3" t="s">
        <v>29</v>
      </c>
    </row>
    <row r="4" spans="1:7" x14ac:dyDescent="0.55000000000000004">
      <c r="A4" t="s">
        <v>8</v>
      </c>
      <c r="B4">
        <v>6000</v>
      </c>
      <c r="C4">
        <v>15000</v>
      </c>
      <c r="D4">
        <v>10000</v>
      </c>
      <c r="E4">
        <v>10000</v>
      </c>
      <c r="F4" t="s">
        <v>18</v>
      </c>
      <c r="G4" t="s">
        <v>30</v>
      </c>
    </row>
    <row r="5" spans="1:7" x14ac:dyDescent="0.55000000000000004">
      <c r="A5" t="s">
        <v>9</v>
      </c>
      <c r="B5">
        <v>67500</v>
      </c>
      <c r="C5">
        <v>60000</v>
      </c>
      <c r="D5">
        <v>80000</v>
      </c>
      <c r="E5">
        <v>100000</v>
      </c>
      <c r="F5" t="s">
        <v>26</v>
      </c>
      <c r="G5" t="s">
        <v>32</v>
      </c>
    </row>
    <row r="6" spans="1:7" x14ac:dyDescent="0.55000000000000004">
      <c r="A6" t="s">
        <v>10</v>
      </c>
      <c r="B6">
        <v>24000</v>
      </c>
      <c r="C6">
        <v>112000</v>
      </c>
      <c r="D6">
        <v>60000</v>
      </c>
      <c r="E6">
        <v>15000</v>
      </c>
      <c r="F6" t="s">
        <v>20</v>
      </c>
      <c r="G6" t="s">
        <v>31</v>
      </c>
    </row>
    <row r="7" spans="1:7" x14ac:dyDescent="0.55000000000000004">
      <c r="A7" t="s">
        <v>11</v>
      </c>
      <c r="B7">
        <v>11600</v>
      </c>
      <c r="C7">
        <v>12000</v>
      </c>
      <c r="D7">
        <v>11000</v>
      </c>
      <c r="E7">
        <v>11000</v>
      </c>
      <c r="F7" t="s">
        <v>23</v>
      </c>
      <c r="G7" t="s">
        <v>33</v>
      </c>
    </row>
    <row r="8" spans="1:7" x14ac:dyDescent="0.55000000000000004">
      <c r="A8" t="s">
        <v>12</v>
      </c>
      <c r="B8">
        <v>6000</v>
      </c>
      <c r="C8">
        <v>8000</v>
      </c>
      <c r="D8">
        <v>6000</v>
      </c>
      <c r="E8">
        <v>6500</v>
      </c>
      <c r="F8" t="s">
        <v>24</v>
      </c>
      <c r="G8" t="s">
        <v>34</v>
      </c>
    </row>
    <row r="9" spans="1:7" x14ac:dyDescent="0.55000000000000004">
      <c r="A9" t="s">
        <v>13</v>
      </c>
      <c r="B9">
        <v>5000</v>
      </c>
      <c r="C9">
        <v>25000</v>
      </c>
      <c r="D9">
        <v>10000</v>
      </c>
      <c r="E9">
        <v>9000</v>
      </c>
      <c r="F9" t="s">
        <v>19</v>
      </c>
      <c r="G9" t="s">
        <v>35</v>
      </c>
    </row>
    <row r="10" spans="1:7" x14ac:dyDescent="0.55000000000000004">
      <c r="A10" t="s">
        <v>21</v>
      </c>
      <c r="B10">
        <v>7000</v>
      </c>
      <c r="C10">
        <v>7000</v>
      </c>
      <c r="D10">
        <v>7000</v>
      </c>
      <c r="E10">
        <v>10000</v>
      </c>
      <c r="F10" t="s">
        <v>25</v>
      </c>
      <c r="G10" t="s">
        <v>36</v>
      </c>
    </row>
    <row r="11" spans="1:7" x14ac:dyDescent="0.55000000000000004">
      <c r="A11" t="s">
        <v>14</v>
      </c>
      <c r="B11">
        <v>25000</v>
      </c>
      <c r="C11">
        <v>20000</v>
      </c>
      <c r="D11">
        <v>20000</v>
      </c>
      <c r="E11">
        <v>33500</v>
      </c>
      <c r="F11" t="s">
        <v>39</v>
      </c>
      <c r="G11" t="s">
        <v>37</v>
      </c>
    </row>
    <row r="12" spans="1:7" x14ac:dyDescent="0.55000000000000004">
      <c r="A12" t="s">
        <v>15</v>
      </c>
      <c r="B12">
        <v>16900</v>
      </c>
      <c r="C12">
        <v>15000</v>
      </c>
      <c r="D12">
        <v>16000</v>
      </c>
      <c r="F12" t="s">
        <v>6</v>
      </c>
      <c r="G12" t="s">
        <v>38</v>
      </c>
    </row>
    <row r="13" spans="1:7" x14ac:dyDescent="0.55000000000000004">
      <c r="A13" t="s">
        <v>22</v>
      </c>
      <c r="B13">
        <f>SUM(B2:B12)</f>
        <v>179000</v>
      </c>
      <c r="C13">
        <f>SUM(C2:C12)</f>
        <v>282000</v>
      </c>
      <c r="D13">
        <f>SUM(D2:D12)</f>
        <v>230000</v>
      </c>
      <c r="E13">
        <f>SUM(E2:E12)</f>
        <v>210000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金森勇輝</dc:creator>
  <cp:lastModifiedBy>金森勇輝</cp:lastModifiedBy>
  <dcterms:created xsi:type="dcterms:W3CDTF">2019-05-24T23:13:27Z</dcterms:created>
  <dcterms:modified xsi:type="dcterms:W3CDTF">2019-05-25T02:20:02Z</dcterms:modified>
</cp:coreProperties>
</file>