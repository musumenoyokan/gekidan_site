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81804\Desktop\"/>
    </mc:Choice>
  </mc:AlternateContent>
  <xr:revisionPtr revIDLastSave="0" documentId="13_ncr:1_{D7823628-3551-4418-B5FF-D207B0A302E7}" xr6:coauthVersionLast="45" xr6:coauthVersionMax="45" xr10:uidLastSave="{00000000-0000-0000-0000-000000000000}"/>
  <bookViews>
    <workbookView xWindow="-110" yWindow="-110" windowWidth="18220" windowHeight="11620" xr2:uid="{00000000-000D-0000-FFFF-FFFF00000000}"/>
  </bookViews>
  <sheets>
    <sheet name="決算" sheetId="3" r:id="rId1"/>
    <sheet name="打ち上げ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07" i="3" l="1"/>
  <c r="G108" i="3" s="1"/>
  <c r="C44" i="3" l="1"/>
  <c r="C43" i="3"/>
  <c r="C42" i="3"/>
  <c r="C107" i="3" l="1"/>
  <c r="C108" i="3" s="1"/>
  <c r="C101" i="3"/>
  <c r="C99" i="3"/>
  <c r="C95" i="3"/>
  <c r="C102" i="3" s="1"/>
  <c r="C79" i="3"/>
  <c r="C80" i="3" s="1"/>
  <c r="C90" i="3"/>
  <c r="C85" i="3"/>
  <c r="C65" i="3"/>
  <c r="C63" i="3"/>
  <c r="C52" i="3"/>
  <c r="C51" i="3"/>
  <c r="C40" i="3"/>
  <c r="C39" i="3"/>
  <c r="C37" i="3"/>
  <c r="C36" i="3"/>
  <c r="C35" i="3"/>
  <c r="C34" i="3"/>
  <c r="C33" i="3"/>
  <c r="C31" i="3"/>
  <c r="C6" i="3"/>
  <c r="C7" i="3" s="1"/>
  <c r="C113" i="3" s="1"/>
  <c r="C25" i="3"/>
  <c r="C19" i="3"/>
  <c r="C14" i="3"/>
  <c r="C70" i="3" l="1"/>
  <c r="C58" i="3"/>
  <c r="C45" i="3"/>
  <c r="C114" i="3" l="1"/>
  <c r="C115" i="3" s="1"/>
  <c r="D7" i="1"/>
  <c r="C7" i="1"/>
  <c r="C6" i="1"/>
  <c r="C4" i="1"/>
  <c r="C3" i="1"/>
  <c r="C2" i="1"/>
  <c r="C1" i="1"/>
</calcChain>
</file>

<file path=xl/sharedStrings.xml><?xml version="1.0" encoding="utf-8"?>
<sst xmlns="http://schemas.openxmlformats.org/spreadsheetml/2006/main" count="249" uniqueCount="137">
  <si>
    <t>税込</t>
    <rPh sb="0" eb="2">
      <t>ゼイコミ</t>
    </rPh>
    <phoneticPr fontId="1"/>
  </si>
  <si>
    <t>稽古場</t>
    <rPh sb="0" eb="2">
      <t>ケイコ</t>
    </rPh>
    <rPh sb="2" eb="3">
      <t>バ</t>
    </rPh>
    <phoneticPr fontId="1"/>
  </si>
  <si>
    <t>照明</t>
    <rPh sb="0" eb="2">
      <t>ショウメイ</t>
    </rPh>
    <phoneticPr fontId="1"/>
  </si>
  <si>
    <t>音響</t>
    <rPh sb="0" eb="2">
      <t>オンキョウ</t>
    </rPh>
    <phoneticPr fontId="1"/>
  </si>
  <si>
    <t>小道具</t>
    <rPh sb="0" eb="3">
      <t>コドウグ</t>
    </rPh>
    <phoneticPr fontId="1"/>
  </si>
  <si>
    <t>衣装</t>
    <rPh sb="0" eb="2">
      <t>イショウ</t>
    </rPh>
    <phoneticPr fontId="1"/>
  </si>
  <si>
    <t>制作</t>
    <rPh sb="0" eb="2">
      <t>セイサク</t>
    </rPh>
    <phoneticPr fontId="1"/>
  </si>
  <si>
    <t>宣伝美術</t>
    <rPh sb="0" eb="2">
      <t>センデン</t>
    </rPh>
    <rPh sb="2" eb="4">
      <t>ビジュツ</t>
    </rPh>
    <phoneticPr fontId="1"/>
  </si>
  <si>
    <t>DM</t>
    <phoneticPr fontId="1"/>
  </si>
  <si>
    <t>雑費</t>
    <rPh sb="0" eb="2">
      <t>ザッピ</t>
    </rPh>
    <phoneticPr fontId="1"/>
  </si>
  <si>
    <t>公演費</t>
    <rPh sb="0" eb="2">
      <t>コウエン</t>
    </rPh>
    <rPh sb="2" eb="3">
      <t>ヒ</t>
    </rPh>
    <phoneticPr fontId="1"/>
  </si>
  <si>
    <t>舞台美術</t>
    <rPh sb="0" eb="2">
      <t>ブタイ</t>
    </rPh>
    <rPh sb="2" eb="4">
      <t>ビジュツ</t>
    </rPh>
    <phoneticPr fontId="1"/>
  </si>
  <si>
    <t>(収入の部)</t>
    <rPh sb="1" eb="3">
      <t>シュウニュウ</t>
    </rPh>
    <rPh sb="4" eb="5">
      <t>ブ</t>
    </rPh>
    <phoneticPr fontId="1"/>
  </si>
  <si>
    <t>(単位：円)</t>
    <rPh sb="1" eb="3">
      <t>タンイ</t>
    </rPh>
    <rPh sb="4" eb="5">
      <t>エン</t>
    </rPh>
    <phoneticPr fontId="1"/>
  </si>
  <si>
    <t>項目</t>
    <rPh sb="0" eb="2">
      <t>コウモク</t>
    </rPh>
    <phoneticPr fontId="1"/>
  </si>
  <si>
    <t>概要</t>
    <rPh sb="0" eb="2">
      <t>ガイヨウ</t>
    </rPh>
    <phoneticPr fontId="1"/>
  </si>
  <si>
    <t>合計</t>
    <rPh sb="0" eb="2">
      <t>ゴウケイ</t>
    </rPh>
    <phoneticPr fontId="1"/>
  </si>
  <si>
    <t>(支出の部)</t>
    <rPh sb="1" eb="3">
      <t>シシュツ</t>
    </rPh>
    <rPh sb="4" eb="5">
      <t>ブ</t>
    </rPh>
    <phoneticPr fontId="1"/>
  </si>
  <si>
    <t>小計</t>
    <rPh sb="0" eb="2">
      <t>ショウケイ</t>
    </rPh>
    <phoneticPr fontId="1"/>
  </si>
  <si>
    <t>①</t>
    <phoneticPr fontId="1"/>
  </si>
  <si>
    <t>②</t>
    <phoneticPr fontId="1"/>
  </si>
  <si>
    <t>小計</t>
    <phoneticPr fontId="1"/>
  </si>
  <si>
    <t>③</t>
    <phoneticPr fontId="1"/>
  </si>
  <si>
    <t>④</t>
    <phoneticPr fontId="1"/>
  </si>
  <si>
    <t>収支</t>
    <rPh sb="0" eb="2">
      <t>シュウシ</t>
    </rPh>
    <phoneticPr fontId="1"/>
  </si>
  <si>
    <t>2019年度秋公演決算報告</t>
    <rPh sb="4" eb="6">
      <t>ネンド</t>
    </rPh>
    <rPh sb="6" eb="7">
      <t>アキ</t>
    </rPh>
    <rPh sb="7" eb="9">
      <t>コウエン</t>
    </rPh>
    <rPh sb="9" eb="11">
      <t>ケッサン</t>
    </rPh>
    <rPh sb="11" eb="13">
      <t>ホウコク</t>
    </rPh>
    <phoneticPr fontId="1"/>
  </si>
  <si>
    <t>舞監→会計</t>
    <rPh sb="0" eb="2">
      <t>ブカン</t>
    </rPh>
    <rPh sb="3" eb="5">
      <t>カイケイ</t>
    </rPh>
    <phoneticPr fontId="1"/>
  </si>
  <si>
    <t>8500円×26名</t>
    <rPh sb="4" eb="5">
      <t>エン</t>
    </rPh>
    <rPh sb="8" eb="9">
      <t>メイ</t>
    </rPh>
    <phoneticPr fontId="1"/>
  </si>
  <si>
    <t>外小屋代</t>
    <rPh sb="0" eb="1">
      <t>ソト</t>
    </rPh>
    <rPh sb="1" eb="3">
      <t>ゴヤ</t>
    </rPh>
    <rPh sb="3" eb="4">
      <t>ダイ</t>
    </rPh>
    <phoneticPr fontId="1"/>
  </si>
  <si>
    <t>機材レンタル</t>
    <rPh sb="0" eb="2">
      <t>キザイ</t>
    </rPh>
    <phoneticPr fontId="1"/>
  </si>
  <si>
    <t>備考</t>
    <rPh sb="0" eb="2">
      <t>ビコウ</t>
    </rPh>
    <phoneticPr fontId="1"/>
  </si>
  <si>
    <t>外小屋での稽古なし</t>
    <rPh sb="0" eb="1">
      <t>ソト</t>
    </rPh>
    <rPh sb="1" eb="3">
      <t>ゴヤ</t>
    </rPh>
    <rPh sb="5" eb="7">
      <t>ケイコ</t>
    </rPh>
    <phoneticPr fontId="1"/>
  </si>
  <si>
    <t>小曽根さん</t>
    <rPh sb="0" eb="3">
      <t>コソネ</t>
    </rPh>
    <phoneticPr fontId="1"/>
  </si>
  <si>
    <t>(予備費より3200円追加)</t>
    <phoneticPr fontId="1"/>
  </si>
  <si>
    <t>決算</t>
    <rPh sb="0" eb="2">
      <t>ケッサン</t>
    </rPh>
    <phoneticPr fontId="1"/>
  </si>
  <si>
    <t>M1「ドライウィングギター」</t>
    <phoneticPr fontId="1"/>
  </si>
  <si>
    <t>金森</t>
    <rPh sb="0" eb="2">
      <t>カナモリ</t>
    </rPh>
    <phoneticPr fontId="1"/>
  </si>
  <si>
    <t>音源</t>
    <rPh sb="0" eb="2">
      <t>オンゲン</t>
    </rPh>
    <phoneticPr fontId="1"/>
  </si>
  <si>
    <t>客入れ「toe」</t>
    <rPh sb="0" eb="1">
      <t>キャク</t>
    </rPh>
    <rPh sb="1" eb="2">
      <t>イ</t>
    </rPh>
    <phoneticPr fontId="1"/>
  </si>
  <si>
    <t>交通費</t>
    <rPh sb="0" eb="3">
      <t>コウツウヒ</t>
    </rPh>
    <phoneticPr fontId="1"/>
  </si>
  <si>
    <t>水上</t>
    <rPh sb="0" eb="2">
      <t>ミズカミ</t>
    </rPh>
    <phoneticPr fontId="1"/>
  </si>
  <si>
    <t>佐藤</t>
    <rPh sb="0" eb="2">
      <t>サトウ</t>
    </rPh>
    <phoneticPr fontId="1"/>
  </si>
  <si>
    <t>島忠</t>
    <rPh sb="0" eb="2">
      <t>シマチュウ</t>
    </rPh>
    <phoneticPr fontId="1"/>
  </si>
  <si>
    <t>いとたくさん</t>
    <phoneticPr fontId="1"/>
  </si>
  <si>
    <t>ペンキ、ニス</t>
    <phoneticPr fontId="1"/>
  </si>
  <si>
    <t>※会計ノートと齟齬あり</t>
    <rPh sb="1" eb="3">
      <t>カイケイ</t>
    </rPh>
    <rPh sb="7" eb="9">
      <t>ソゴ</t>
    </rPh>
    <phoneticPr fontId="1"/>
  </si>
  <si>
    <t>ござ</t>
    <phoneticPr fontId="1"/>
  </si>
  <si>
    <t>送料含む</t>
    <rPh sb="0" eb="2">
      <t>ソウリョウ</t>
    </rPh>
    <rPh sb="2" eb="3">
      <t>フク</t>
    </rPh>
    <phoneticPr fontId="1"/>
  </si>
  <si>
    <t>布団セット</t>
    <rPh sb="0" eb="2">
      <t>フトン</t>
    </rPh>
    <phoneticPr fontId="1"/>
  </si>
  <si>
    <t>角布団、敷布団、枕</t>
    <rPh sb="0" eb="1">
      <t>カク</t>
    </rPh>
    <rPh sb="1" eb="3">
      <t>ブトン</t>
    </rPh>
    <rPh sb="4" eb="7">
      <t>シキブトン</t>
    </rPh>
    <rPh sb="8" eb="9">
      <t>マクラ</t>
    </rPh>
    <phoneticPr fontId="1"/>
  </si>
  <si>
    <t>生地</t>
    <rPh sb="0" eb="2">
      <t>キジ</t>
    </rPh>
    <phoneticPr fontId="1"/>
  </si>
  <si>
    <t>メートル当たり108円</t>
    <rPh sb="4" eb="5">
      <t>ア</t>
    </rPh>
    <rPh sb="10" eb="11">
      <t>エン</t>
    </rPh>
    <phoneticPr fontId="1"/>
  </si>
  <si>
    <t>木材</t>
    <rPh sb="0" eb="2">
      <t>モクザイ</t>
    </rPh>
    <phoneticPr fontId="1"/>
  </si>
  <si>
    <t>宮内でベニヤ18枚購入</t>
    <rPh sb="0" eb="2">
      <t>ミヤウチ</t>
    </rPh>
    <rPh sb="8" eb="9">
      <t>マイ</t>
    </rPh>
    <rPh sb="9" eb="11">
      <t>コウニュウ</t>
    </rPh>
    <phoneticPr fontId="1"/>
  </si>
  <si>
    <t>小磯</t>
    <rPh sb="0" eb="2">
      <t>コイソ</t>
    </rPh>
    <phoneticPr fontId="1"/>
  </si>
  <si>
    <t>座布団カバー</t>
    <rPh sb="0" eb="3">
      <t>ザブトン</t>
    </rPh>
    <phoneticPr fontId="1"/>
  </si>
  <si>
    <t>ペンキ、接着剤</t>
    <rPh sb="4" eb="7">
      <t>セッチャクザイ</t>
    </rPh>
    <phoneticPr fontId="1"/>
  </si>
  <si>
    <t>アクリル</t>
    <phoneticPr fontId="1"/>
  </si>
  <si>
    <t>340×340を9つ、送料手数料込</t>
    <rPh sb="11" eb="13">
      <t>ソウリョウ</t>
    </rPh>
    <rPh sb="13" eb="15">
      <t>テスウ</t>
    </rPh>
    <rPh sb="15" eb="16">
      <t>リョウ</t>
    </rPh>
    <rPh sb="16" eb="17">
      <t>コミ</t>
    </rPh>
    <phoneticPr fontId="1"/>
  </si>
  <si>
    <t>ミシン糸</t>
    <rPh sb="3" eb="4">
      <t>イト</t>
    </rPh>
    <phoneticPr fontId="1"/>
  </si>
  <si>
    <t>送料込み</t>
    <rPh sb="0" eb="2">
      <t>ソウリョウ</t>
    </rPh>
    <rPh sb="2" eb="3">
      <t>コ</t>
    </rPh>
    <phoneticPr fontId="1"/>
  </si>
  <si>
    <t>大沢</t>
    <rPh sb="0" eb="2">
      <t>オオサワ</t>
    </rPh>
    <phoneticPr fontId="1"/>
  </si>
  <si>
    <t>桶と柄杓</t>
    <rPh sb="0" eb="1">
      <t>オケ</t>
    </rPh>
    <rPh sb="2" eb="4">
      <t>ヒシャク</t>
    </rPh>
    <phoneticPr fontId="1"/>
  </si>
  <si>
    <t>雑巾</t>
    <rPh sb="0" eb="2">
      <t>ゾウキン</t>
    </rPh>
    <phoneticPr fontId="1"/>
  </si>
  <si>
    <t>東急</t>
    <rPh sb="0" eb="2">
      <t>トウキュウ</t>
    </rPh>
    <phoneticPr fontId="1"/>
  </si>
  <si>
    <t>ぶどうと麻袋×5</t>
    <rPh sb="4" eb="6">
      <t>アサブクロ</t>
    </rPh>
    <phoneticPr fontId="1"/>
  </si>
  <si>
    <t>ホシキン</t>
    <phoneticPr fontId="1"/>
  </si>
  <si>
    <t>手紙</t>
    <rPh sb="0" eb="2">
      <t>テガミ</t>
    </rPh>
    <phoneticPr fontId="1"/>
  </si>
  <si>
    <t>便箋と封筒</t>
    <rPh sb="0" eb="2">
      <t>ビンセン</t>
    </rPh>
    <rPh sb="3" eb="5">
      <t>フウトウ</t>
    </rPh>
    <phoneticPr fontId="1"/>
  </si>
  <si>
    <t>トランシーバー</t>
    <phoneticPr fontId="1"/>
  </si>
  <si>
    <t>スピーカー</t>
    <phoneticPr fontId="1"/>
  </si>
  <si>
    <t>変声機</t>
    <rPh sb="0" eb="2">
      <t>ヘンセイ</t>
    </rPh>
    <rPh sb="2" eb="3">
      <t>キ</t>
    </rPh>
    <phoneticPr fontId="1"/>
  </si>
  <si>
    <t>造花</t>
    <rPh sb="0" eb="2">
      <t>ゾウカ</t>
    </rPh>
    <phoneticPr fontId="1"/>
  </si>
  <si>
    <t>筑前煮</t>
    <rPh sb="0" eb="3">
      <t>チクゼンニ</t>
    </rPh>
    <phoneticPr fontId="1"/>
  </si>
  <si>
    <t>あさひさん</t>
    <phoneticPr fontId="1"/>
  </si>
  <si>
    <t>牟田さんのご飯</t>
    <rPh sb="0" eb="2">
      <t>ムタ</t>
    </rPh>
    <rPh sb="6" eb="7">
      <t>ハン</t>
    </rPh>
    <phoneticPr fontId="1"/>
  </si>
  <si>
    <t>レンタル代、代引き</t>
    <rPh sb="4" eb="5">
      <t>ダイ</t>
    </rPh>
    <rPh sb="6" eb="8">
      <t>ダイビ</t>
    </rPh>
    <phoneticPr fontId="1"/>
  </si>
  <si>
    <t>返送料</t>
    <rPh sb="0" eb="2">
      <t>ヘンソウ</t>
    </rPh>
    <rPh sb="2" eb="3">
      <t>リョウ</t>
    </rPh>
    <phoneticPr fontId="1"/>
  </si>
  <si>
    <t>⑤</t>
    <phoneticPr fontId="1"/>
  </si>
  <si>
    <t>ドレス</t>
    <phoneticPr fontId="1"/>
  </si>
  <si>
    <t>綾香さんのドレス</t>
    <rPh sb="0" eb="2">
      <t>アヤカ</t>
    </rPh>
    <phoneticPr fontId="1"/>
  </si>
  <si>
    <t>化粧品</t>
    <rPh sb="0" eb="3">
      <t>ケショウヒン</t>
    </rPh>
    <phoneticPr fontId="1"/>
  </si>
  <si>
    <t>アントニオさん</t>
    <phoneticPr fontId="1"/>
  </si>
  <si>
    <t>ペンシル(2)、シャドウ(2)、パフ、チップ、ブラシ、ファンデ(3)、メイク落とし</t>
    <rPh sb="38" eb="39">
      <t>オ</t>
    </rPh>
    <phoneticPr fontId="1"/>
  </si>
  <si>
    <t>パジャマ</t>
    <phoneticPr fontId="1"/>
  </si>
  <si>
    <t>中司</t>
    <rPh sb="0" eb="2">
      <t>ナカツカ</t>
    </rPh>
    <phoneticPr fontId="1"/>
  </si>
  <si>
    <t>鈴木さんと遠藤さんの2着</t>
    <rPh sb="0" eb="2">
      <t>スズキ</t>
    </rPh>
    <rPh sb="5" eb="7">
      <t>エンドウ</t>
    </rPh>
    <rPh sb="11" eb="12">
      <t>チャク</t>
    </rPh>
    <phoneticPr fontId="1"/>
  </si>
  <si>
    <t>予備含め6着、染めたやつ</t>
    <rPh sb="0" eb="2">
      <t>ヨビ</t>
    </rPh>
    <rPh sb="2" eb="3">
      <t>フク</t>
    </rPh>
    <rPh sb="5" eb="6">
      <t>チャク</t>
    </rPh>
    <rPh sb="7" eb="8">
      <t>ソ</t>
    </rPh>
    <phoneticPr fontId="1"/>
  </si>
  <si>
    <t>靴下</t>
    <rPh sb="0" eb="2">
      <t>クツシタ</t>
    </rPh>
    <phoneticPr fontId="1"/>
  </si>
  <si>
    <t>5枚入り</t>
    <rPh sb="0" eb="3">
      <t>ゴマイイ</t>
    </rPh>
    <phoneticPr fontId="1"/>
  </si>
  <si>
    <t>刑務官</t>
    <rPh sb="0" eb="3">
      <t>ケイムカン</t>
    </rPh>
    <phoneticPr fontId="1"/>
  </si>
  <si>
    <t>4着</t>
    <rPh sb="1" eb="2">
      <t>チャク</t>
    </rPh>
    <phoneticPr fontId="1"/>
  </si>
  <si>
    <t>ボタン</t>
    <phoneticPr fontId="1"/>
  </si>
  <si>
    <t>6個入り×5</t>
    <rPh sb="0" eb="2">
      <t>ロッコ</t>
    </rPh>
    <rPh sb="2" eb="3">
      <t>イ</t>
    </rPh>
    <phoneticPr fontId="1"/>
  </si>
  <si>
    <t>安田</t>
    <rPh sb="0" eb="2">
      <t>ヤスダ</t>
    </rPh>
    <phoneticPr fontId="1"/>
  </si>
  <si>
    <t>ヘアシルバー</t>
    <phoneticPr fontId="1"/>
  </si>
  <si>
    <t>⑥</t>
    <phoneticPr fontId="1"/>
  </si>
  <si>
    <t>予備費</t>
    <rPh sb="0" eb="3">
      <t>ヨビヒ</t>
    </rPh>
    <phoneticPr fontId="1"/>
  </si>
  <si>
    <t>SDカード</t>
    <phoneticPr fontId="1"/>
  </si>
  <si>
    <t>印刷代</t>
    <rPh sb="0" eb="2">
      <t>インサツ</t>
    </rPh>
    <rPh sb="2" eb="3">
      <t>ダイ</t>
    </rPh>
    <phoneticPr fontId="1"/>
  </si>
  <si>
    <t>大井町―目黒</t>
    <rPh sb="0" eb="3">
      <t>オオイマチ</t>
    </rPh>
    <rPh sb="4" eb="6">
      <t>メグロ</t>
    </rPh>
    <phoneticPr fontId="1"/>
  </si>
  <si>
    <t>岸谷公園入口―新横浜駅前</t>
    <rPh sb="0" eb="2">
      <t>キシタニ</t>
    </rPh>
    <rPh sb="2" eb="4">
      <t>コウエン</t>
    </rPh>
    <rPh sb="4" eb="6">
      <t>イリグチ</t>
    </rPh>
    <rPh sb="7" eb="11">
      <t>シンヨコハマエキ</t>
    </rPh>
    <rPh sb="11" eb="12">
      <t>マエ</t>
    </rPh>
    <phoneticPr fontId="1"/>
  </si>
  <si>
    <t>大井町―市ヶ谷</t>
    <rPh sb="0" eb="3">
      <t>オオイマチ</t>
    </rPh>
    <rPh sb="4" eb="7">
      <t>イチガヤ</t>
    </rPh>
    <phoneticPr fontId="1"/>
  </si>
  <si>
    <t>大井町―池袋</t>
    <rPh sb="0" eb="3">
      <t>オオイマチ</t>
    </rPh>
    <rPh sb="4" eb="6">
      <t>イケブクロ</t>
    </rPh>
    <phoneticPr fontId="1"/>
  </si>
  <si>
    <t>かやちゃん</t>
    <phoneticPr fontId="1"/>
  </si>
  <si>
    <t>アンケート(150部)、詫び状(210部)、当パン(150部)</t>
    <rPh sb="9" eb="10">
      <t>ブ</t>
    </rPh>
    <rPh sb="12" eb="13">
      <t>ワ</t>
    </rPh>
    <rPh sb="14" eb="15">
      <t>ジョウ</t>
    </rPh>
    <rPh sb="19" eb="20">
      <t>ブ</t>
    </rPh>
    <rPh sb="22" eb="23">
      <t>トウ</t>
    </rPh>
    <rPh sb="29" eb="30">
      <t>ブ</t>
    </rPh>
    <phoneticPr fontId="1"/>
  </si>
  <si>
    <t>フライヤー代</t>
    <rPh sb="5" eb="6">
      <t>ダイ</t>
    </rPh>
    <phoneticPr fontId="1"/>
  </si>
  <si>
    <t>⑦</t>
    <phoneticPr fontId="1"/>
  </si>
  <si>
    <t>⑧</t>
    <phoneticPr fontId="1"/>
  </si>
  <si>
    <t>さくら</t>
    <phoneticPr fontId="1"/>
  </si>
  <si>
    <t>1500枚分</t>
    <rPh sb="4" eb="5">
      <t>マイ</t>
    </rPh>
    <rPh sb="5" eb="6">
      <t>ブン</t>
    </rPh>
    <phoneticPr fontId="1"/>
  </si>
  <si>
    <t>七草</t>
    <rPh sb="0" eb="2">
      <t>ナナクサ</t>
    </rPh>
    <phoneticPr fontId="1"/>
  </si>
  <si>
    <t>簡易書簡</t>
    <rPh sb="0" eb="2">
      <t>カンイ</t>
    </rPh>
    <rPh sb="2" eb="4">
      <t>ショカン</t>
    </rPh>
    <phoneticPr fontId="1"/>
  </si>
  <si>
    <t>62円×110枚</t>
    <rPh sb="2" eb="3">
      <t>エン</t>
    </rPh>
    <rPh sb="7" eb="8">
      <t>マイ</t>
    </rPh>
    <phoneticPr fontId="1"/>
  </si>
  <si>
    <t>⑨</t>
    <phoneticPr fontId="1"/>
  </si>
  <si>
    <t>ブラックキャップ</t>
    <phoneticPr fontId="1"/>
  </si>
  <si>
    <t>ビーバープロ</t>
    <phoneticPr fontId="1"/>
  </si>
  <si>
    <t>養生、黒ガム、両面、絶縁、釘</t>
    <rPh sb="0" eb="2">
      <t>ヨウジョウ</t>
    </rPh>
    <rPh sb="3" eb="4">
      <t>クロ</t>
    </rPh>
    <rPh sb="7" eb="9">
      <t>リャンメン</t>
    </rPh>
    <rPh sb="10" eb="12">
      <t>ゼツエン</t>
    </rPh>
    <rPh sb="13" eb="14">
      <t>クギ</t>
    </rPh>
    <phoneticPr fontId="1"/>
  </si>
  <si>
    <t>大岡山―鷲沼、鷲沼駅からバス</t>
    <rPh sb="0" eb="3">
      <t>オオオカヤマ</t>
    </rPh>
    <rPh sb="4" eb="6">
      <t>ワシヌマ</t>
    </rPh>
    <rPh sb="7" eb="9">
      <t>ワシヌマ</t>
    </rPh>
    <rPh sb="9" eb="10">
      <t>エキ</t>
    </rPh>
    <phoneticPr fontId="1"/>
  </si>
  <si>
    <t>電池</t>
    <rPh sb="0" eb="2">
      <t>デンチ</t>
    </rPh>
    <phoneticPr fontId="1"/>
  </si>
  <si>
    <t>単4形電池4個入り×2</t>
    <rPh sb="0" eb="1">
      <t>タン</t>
    </rPh>
    <rPh sb="2" eb="3">
      <t>カタチ</t>
    </rPh>
    <rPh sb="3" eb="5">
      <t>デンチ</t>
    </rPh>
    <rPh sb="5" eb="7">
      <t>ヨンコ</t>
    </rPh>
    <rPh sb="7" eb="8">
      <t>イ</t>
    </rPh>
    <phoneticPr fontId="1"/>
  </si>
  <si>
    <t>ウェットティッシュ</t>
    <phoneticPr fontId="1"/>
  </si>
  <si>
    <t>手ピカジェル</t>
    <rPh sb="0" eb="1">
      <t>テ</t>
    </rPh>
    <phoneticPr fontId="1"/>
  </si>
  <si>
    <t>筆とスポンジ</t>
    <rPh sb="0" eb="1">
      <t>フデ</t>
    </rPh>
    <phoneticPr fontId="1"/>
  </si>
  <si>
    <t>照明費へ</t>
    <rPh sb="0" eb="2">
      <t>ショウメイ</t>
    </rPh>
    <rPh sb="2" eb="3">
      <t>ヒ</t>
    </rPh>
    <phoneticPr fontId="1"/>
  </si>
  <si>
    <t>打ち上げ代</t>
    <rPh sb="0" eb="1">
      <t>ウ</t>
    </rPh>
    <rPh sb="2" eb="3">
      <t>ア</t>
    </rPh>
    <rPh sb="4" eb="5">
      <t>ダイ</t>
    </rPh>
    <phoneticPr fontId="1"/>
  </si>
  <si>
    <t>4500円×16名＋4100円×7名</t>
    <rPh sb="4" eb="5">
      <t>エン</t>
    </rPh>
    <rPh sb="8" eb="9">
      <t>メイ</t>
    </rPh>
    <rPh sb="14" eb="15">
      <t>エン</t>
    </rPh>
    <rPh sb="17" eb="18">
      <t>メイ</t>
    </rPh>
    <phoneticPr fontId="1"/>
  </si>
  <si>
    <t>⑩</t>
    <phoneticPr fontId="1"/>
  </si>
  <si>
    <t>⑪</t>
    <phoneticPr fontId="1"/>
  </si>
  <si>
    <t>収入の部合計</t>
    <rPh sb="0" eb="2">
      <t>シュウニュウ</t>
    </rPh>
    <rPh sb="3" eb="4">
      <t>ブ</t>
    </rPh>
    <rPh sb="4" eb="6">
      <t>ゴウケイ</t>
    </rPh>
    <phoneticPr fontId="1"/>
  </si>
  <si>
    <t>支出の部合計</t>
    <rPh sb="0" eb="2">
      <t>シシュツ</t>
    </rPh>
    <rPh sb="3" eb="4">
      <t>ブ</t>
    </rPh>
    <rPh sb="4" eb="6">
      <t>ゴウケイ</t>
    </rPh>
    <phoneticPr fontId="1"/>
  </si>
  <si>
    <t>①+②+③+④+⑤+⑥+⑦+⑧+⑨+⑩+⑪</t>
    <phoneticPr fontId="1"/>
  </si>
  <si>
    <t>島忠</t>
    <rPh sb="0" eb="2">
      <t>シマチュウ</t>
    </rPh>
    <phoneticPr fontId="1"/>
  </si>
  <si>
    <t>木材</t>
    <rPh sb="0" eb="2">
      <t>モクザイ</t>
    </rPh>
    <phoneticPr fontId="1"/>
  </si>
  <si>
    <t>ベニヤ×2</t>
    <phoneticPr fontId="1"/>
  </si>
  <si>
    <t>やすり、ペンキ、ニス、ハケ、ローラー</t>
    <phoneticPr fontId="1"/>
  </si>
  <si>
    <t>10/18時点</t>
    <rPh sb="5" eb="7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</si>
</sst>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56" fontId="0" fillId="0" borderId="11" xfId="0" applyNumberFormat="1" applyBorder="1"/>
    <xf numFmtId="0" fontId="0" fillId="0" borderId="10" xfId="0" applyNumberFormat="1" applyBorder="1"/>
    <xf numFmtId="0" fontId="0" fillId="3" borderId="17" xfId="0" applyFill="1" applyBorder="1"/>
    <xf numFmtId="0" fontId="0" fillId="0" borderId="21" xfId="0" applyBorder="1"/>
    <xf numFmtId="0" fontId="0" fillId="0" borderId="17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B2ED-53B0-4FCC-A119-76D84A226A16}">
  <dimension ref="B1:J115"/>
  <sheetViews>
    <sheetView tabSelected="1" topLeftCell="A67" zoomScale="72" zoomScaleNormal="130" workbookViewId="0">
      <selection activeCell="A91" sqref="A91"/>
    </sheetView>
  </sheetViews>
  <sheetFormatPr defaultRowHeight="18" x14ac:dyDescent="0.55000000000000004"/>
  <cols>
    <col min="2" max="2" width="19.33203125" bestFit="1" customWidth="1"/>
    <col min="4" max="4" width="71.5" bestFit="1" customWidth="1"/>
    <col min="5" max="5" width="14.33203125" bestFit="1" customWidth="1"/>
  </cols>
  <sheetData>
    <row r="1" spans="2:5" ht="22.5" x14ac:dyDescent="0.65">
      <c r="B1" s="28" t="s">
        <v>25</v>
      </c>
      <c r="C1" s="29"/>
      <c r="D1" s="29"/>
      <c r="E1" s="29"/>
    </row>
    <row r="2" spans="2:5" x14ac:dyDescent="0.55000000000000004">
      <c r="D2" s="1"/>
      <c r="E2" s="1" t="s">
        <v>26</v>
      </c>
    </row>
    <row r="3" spans="2:5" x14ac:dyDescent="0.55000000000000004">
      <c r="D3" s="1"/>
      <c r="E3" s="1" t="s">
        <v>136</v>
      </c>
    </row>
    <row r="4" spans="2:5" ht="18.5" thickBot="1" x14ac:dyDescent="0.6">
      <c r="B4" t="s">
        <v>12</v>
      </c>
      <c r="D4" s="1"/>
      <c r="E4" s="1" t="s">
        <v>13</v>
      </c>
    </row>
    <row r="5" spans="2:5" x14ac:dyDescent="0.55000000000000004">
      <c r="B5" s="2" t="s">
        <v>14</v>
      </c>
      <c r="C5" s="2" t="s">
        <v>34</v>
      </c>
      <c r="D5" s="2" t="s">
        <v>15</v>
      </c>
      <c r="E5" s="2" t="s">
        <v>30</v>
      </c>
    </row>
    <row r="6" spans="2:5" ht="18.5" thickBot="1" x14ac:dyDescent="0.6">
      <c r="B6" s="4" t="s">
        <v>10</v>
      </c>
      <c r="C6" s="4">
        <f>8500*26</f>
        <v>221000</v>
      </c>
      <c r="D6" s="4" t="s">
        <v>27</v>
      </c>
      <c r="E6" s="4"/>
    </row>
    <row r="7" spans="2:5" ht="19" thickTop="1" thickBot="1" x14ac:dyDescent="0.6">
      <c r="B7" s="5" t="s">
        <v>16</v>
      </c>
      <c r="C7" s="5">
        <f>C6</f>
        <v>221000</v>
      </c>
      <c r="D7" s="5"/>
      <c r="E7" s="5"/>
    </row>
    <row r="10" spans="2:5" x14ac:dyDescent="0.55000000000000004">
      <c r="B10" t="s">
        <v>17</v>
      </c>
      <c r="D10" s="1"/>
      <c r="E10" s="1" t="s">
        <v>13</v>
      </c>
    </row>
    <row r="11" spans="2:5" ht="18.5" thickBot="1" x14ac:dyDescent="0.6">
      <c r="B11" s="6" t="s">
        <v>1</v>
      </c>
      <c r="C11" s="6">
        <v>10000</v>
      </c>
      <c r="D11" s="7"/>
      <c r="E11" s="7"/>
    </row>
    <row r="12" spans="2:5" x14ac:dyDescent="0.55000000000000004">
      <c r="B12" s="8" t="s">
        <v>14</v>
      </c>
      <c r="C12" s="9" t="s">
        <v>34</v>
      </c>
      <c r="D12" s="10" t="s">
        <v>15</v>
      </c>
      <c r="E12" s="10" t="s">
        <v>30</v>
      </c>
    </row>
    <row r="13" spans="2:5" ht="18.5" thickBot="1" x14ac:dyDescent="0.6">
      <c r="B13" s="14" t="s">
        <v>28</v>
      </c>
      <c r="C13" s="4">
        <v>0</v>
      </c>
      <c r="D13" s="15" t="s">
        <v>31</v>
      </c>
      <c r="E13" s="15"/>
    </row>
    <row r="14" spans="2:5" ht="19" thickTop="1" thickBot="1" x14ac:dyDescent="0.6">
      <c r="B14" s="16" t="s">
        <v>18</v>
      </c>
      <c r="C14" s="5">
        <f>SUM(C13:C13)</f>
        <v>0</v>
      </c>
      <c r="D14" s="17" t="s">
        <v>19</v>
      </c>
      <c r="E14" s="17"/>
    </row>
    <row r="16" spans="2:5" ht="18.5" thickBot="1" x14ac:dyDescent="0.6">
      <c r="B16" s="6" t="s">
        <v>2</v>
      </c>
      <c r="C16" s="6">
        <v>13200</v>
      </c>
      <c r="D16" s="7" t="s">
        <v>33</v>
      </c>
      <c r="E16" s="7"/>
    </row>
    <row r="17" spans="2:10" x14ac:dyDescent="0.55000000000000004">
      <c r="B17" s="8" t="s">
        <v>14</v>
      </c>
      <c r="C17" s="9" t="s">
        <v>34</v>
      </c>
      <c r="D17" s="10" t="s">
        <v>15</v>
      </c>
      <c r="E17" s="10" t="s">
        <v>30</v>
      </c>
    </row>
    <row r="18" spans="2:10" ht="18.5" thickBot="1" x14ac:dyDescent="0.6">
      <c r="B18" s="4" t="s">
        <v>29</v>
      </c>
      <c r="C18" s="4">
        <v>13200</v>
      </c>
      <c r="D18" s="15"/>
      <c r="E18" s="15" t="s">
        <v>32</v>
      </c>
    </row>
    <row r="19" spans="2:10" ht="19" thickTop="1" thickBot="1" x14ac:dyDescent="0.6">
      <c r="B19" s="16" t="s">
        <v>18</v>
      </c>
      <c r="C19" s="5">
        <f>SUM(C18:C18)</f>
        <v>13200</v>
      </c>
      <c r="D19" s="17" t="s">
        <v>20</v>
      </c>
      <c r="E19" s="17"/>
    </row>
    <row r="21" spans="2:10" ht="18.5" thickBot="1" x14ac:dyDescent="0.6">
      <c r="B21" s="6" t="s">
        <v>3</v>
      </c>
      <c r="C21" s="6">
        <v>2500</v>
      </c>
      <c r="D21" s="7"/>
      <c r="E21" s="7"/>
    </row>
    <row r="22" spans="2:10" x14ac:dyDescent="0.55000000000000004">
      <c r="B22" s="8" t="s">
        <v>14</v>
      </c>
      <c r="C22" s="9" t="s">
        <v>34</v>
      </c>
      <c r="D22" s="10" t="s">
        <v>15</v>
      </c>
      <c r="E22" s="10" t="s">
        <v>30</v>
      </c>
    </row>
    <row r="23" spans="2:10" x14ac:dyDescent="0.55000000000000004">
      <c r="B23" s="11" t="s">
        <v>37</v>
      </c>
      <c r="C23" s="12">
        <v>250</v>
      </c>
      <c r="D23" s="13" t="s">
        <v>35</v>
      </c>
      <c r="E23" s="13" t="s">
        <v>36</v>
      </c>
    </row>
    <row r="24" spans="2:10" ht="18.5" thickBot="1" x14ac:dyDescent="0.6">
      <c r="B24" s="14" t="s">
        <v>37</v>
      </c>
      <c r="C24" s="4">
        <v>150</v>
      </c>
      <c r="D24" s="15" t="s">
        <v>38</v>
      </c>
      <c r="E24" s="15" t="s">
        <v>36</v>
      </c>
    </row>
    <row r="25" spans="2:10" ht="19" thickTop="1" thickBot="1" x14ac:dyDescent="0.6">
      <c r="B25" s="20" t="s">
        <v>21</v>
      </c>
      <c r="C25" s="21">
        <f>SUM(C23:C24)</f>
        <v>400</v>
      </c>
      <c r="D25" s="22" t="s">
        <v>22</v>
      </c>
      <c r="E25" s="22"/>
    </row>
    <row r="26" spans="2:10" x14ac:dyDescent="0.55000000000000004">
      <c r="B26" s="19"/>
      <c r="C26" s="19"/>
      <c r="D26" s="19"/>
      <c r="E26" s="19"/>
      <c r="G26" s="19"/>
      <c r="H26" s="19"/>
      <c r="I26" s="19"/>
      <c r="J26" s="19"/>
    </row>
    <row r="27" spans="2:10" ht="18.5" thickBot="1" x14ac:dyDescent="0.6">
      <c r="B27" s="6" t="s">
        <v>11</v>
      </c>
      <c r="C27" s="6">
        <v>64000</v>
      </c>
      <c r="D27" s="7"/>
      <c r="E27" s="7"/>
    </row>
    <row r="28" spans="2:10" x14ac:dyDescent="0.55000000000000004">
      <c r="B28" s="8" t="s">
        <v>14</v>
      </c>
      <c r="C28" s="9" t="s">
        <v>34</v>
      </c>
      <c r="D28" s="10" t="s">
        <v>15</v>
      </c>
      <c r="E28" s="10" t="s">
        <v>30</v>
      </c>
    </row>
    <row r="29" spans="2:10" x14ac:dyDescent="0.55000000000000004">
      <c r="B29" s="12" t="s">
        <v>39</v>
      </c>
      <c r="C29" s="12">
        <v>308</v>
      </c>
      <c r="D29" s="13"/>
      <c r="E29" s="13" t="s">
        <v>40</v>
      </c>
    </row>
    <row r="30" spans="2:10" x14ac:dyDescent="0.55000000000000004">
      <c r="B30" s="12" t="s">
        <v>39</v>
      </c>
      <c r="C30" s="12">
        <v>308</v>
      </c>
      <c r="D30" s="23"/>
      <c r="E30" s="13" t="s">
        <v>41</v>
      </c>
    </row>
    <row r="31" spans="2:10" x14ac:dyDescent="0.55000000000000004">
      <c r="B31" s="12" t="s">
        <v>42</v>
      </c>
      <c r="C31" s="12">
        <f>1814+1814+429+1274+1274+1274+5164+5164</f>
        <v>18207</v>
      </c>
      <c r="D31" s="13" t="s">
        <v>44</v>
      </c>
      <c r="E31" s="13" t="s">
        <v>43</v>
      </c>
      <c r="F31" s="25" t="s">
        <v>45</v>
      </c>
    </row>
    <row r="32" spans="2:10" x14ac:dyDescent="0.55000000000000004">
      <c r="B32" s="12" t="s">
        <v>39</v>
      </c>
      <c r="C32" s="12">
        <v>308</v>
      </c>
      <c r="D32" s="13"/>
      <c r="E32" s="13" t="s">
        <v>43</v>
      </c>
    </row>
    <row r="33" spans="2:5" x14ac:dyDescent="0.55000000000000004">
      <c r="B33" s="12" t="s">
        <v>46</v>
      </c>
      <c r="C33" s="12">
        <f>3360+500</f>
        <v>3860</v>
      </c>
      <c r="D33" s="13" t="s">
        <v>47</v>
      </c>
      <c r="E33" s="13" t="s">
        <v>43</v>
      </c>
    </row>
    <row r="34" spans="2:5" x14ac:dyDescent="0.55000000000000004">
      <c r="B34" s="12" t="s">
        <v>48</v>
      </c>
      <c r="C34" s="12">
        <f>3781*2</f>
        <v>7562</v>
      </c>
      <c r="D34" s="13" t="s">
        <v>49</v>
      </c>
      <c r="E34" s="13" t="s">
        <v>43</v>
      </c>
    </row>
    <row r="35" spans="2:5" x14ac:dyDescent="0.55000000000000004">
      <c r="B35" s="3" t="s">
        <v>50</v>
      </c>
      <c r="C35" s="3">
        <f>108*(1+20+10)</f>
        <v>3348</v>
      </c>
      <c r="D35" s="18" t="s">
        <v>51</v>
      </c>
      <c r="E35" s="18" t="s">
        <v>43</v>
      </c>
    </row>
    <row r="36" spans="2:5" x14ac:dyDescent="0.55000000000000004">
      <c r="B36" s="3" t="s">
        <v>52</v>
      </c>
      <c r="C36" s="3">
        <f>750*18*1.08</f>
        <v>14580.000000000002</v>
      </c>
      <c r="D36" s="18" t="s">
        <v>53</v>
      </c>
      <c r="E36" s="18" t="s">
        <v>43</v>
      </c>
    </row>
    <row r="37" spans="2:5" x14ac:dyDescent="0.55000000000000004">
      <c r="B37" s="3" t="s">
        <v>50</v>
      </c>
      <c r="C37" s="3">
        <f>108*1.5</f>
        <v>162</v>
      </c>
      <c r="D37" s="18"/>
      <c r="E37" s="18" t="s">
        <v>54</v>
      </c>
    </row>
    <row r="38" spans="2:5" x14ac:dyDescent="0.55000000000000004">
      <c r="B38" s="3" t="s">
        <v>55</v>
      </c>
      <c r="C38" s="3">
        <v>5700</v>
      </c>
      <c r="D38" s="18" t="s">
        <v>51</v>
      </c>
      <c r="E38" s="18" t="s">
        <v>43</v>
      </c>
    </row>
    <row r="39" spans="2:5" x14ac:dyDescent="0.55000000000000004">
      <c r="B39" s="3" t="s">
        <v>50</v>
      </c>
      <c r="C39" s="3">
        <f>108*10.5</f>
        <v>1134</v>
      </c>
      <c r="D39" s="18" t="s">
        <v>51</v>
      </c>
      <c r="E39" s="18" t="s">
        <v>43</v>
      </c>
    </row>
    <row r="40" spans="2:5" x14ac:dyDescent="0.55000000000000004">
      <c r="B40" s="3" t="s">
        <v>42</v>
      </c>
      <c r="C40" s="3">
        <f>1814+1814+1150-145</f>
        <v>4633</v>
      </c>
      <c r="D40" s="18" t="s">
        <v>56</v>
      </c>
      <c r="E40" s="18" t="s">
        <v>43</v>
      </c>
    </row>
    <row r="41" spans="2:5" x14ac:dyDescent="0.55000000000000004">
      <c r="B41" s="3" t="s">
        <v>57</v>
      </c>
      <c r="C41" s="3">
        <v>5183</v>
      </c>
      <c r="D41" s="18" t="s">
        <v>58</v>
      </c>
      <c r="E41" s="18" t="s">
        <v>43</v>
      </c>
    </row>
    <row r="42" spans="2:5" x14ac:dyDescent="0.55000000000000004">
      <c r="B42" s="12" t="s">
        <v>59</v>
      </c>
      <c r="C42" s="12">
        <f>330+300+300</f>
        <v>930</v>
      </c>
      <c r="D42" s="13"/>
      <c r="E42" s="13" t="s">
        <v>54</v>
      </c>
    </row>
    <row r="43" spans="2:5" x14ac:dyDescent="0.55000000000000004">
      <c r="B43" s="26" t="s">
        <v>133</v>
      </c>
      <c r="C43" s="26">
        <f>750*2*1.1</f>
        <v>1650.0000000000002</v>
      </c>
      <c r="D43" s="27" t="s">
        <v>134</v>
      </c>
      <c r="E43" s="27" t="s">
        <v>43</v>
      </c>
    </row>
    <row r="44" spans="2:5" ht="18.5" thickBot="1" x14ac:dyDescent="0.6">
      <c r="B44" s="4" t="s">
        <v>132</v>
      </c>
      <c r="C44" s="4">
        <f>640+3278+2728+1848+1605</f>
        <v>10099</v>
      </c>
      <c r="D44" s="15" t="s">
        <v>135</v>
      </c>
      <c r="E44" s="15" t="s">
        <v>43</v>
      </c>
    </row>
    <row r="45" spans="2:5" ht="19" thickTop="1" thickBot="1" x14ac:dyDescent="0.6">
      <c r="B45" s="16" t="s">
        <v>18</v>
      </c>
      <c r="C45" s="5">
        <f>SUM(C29:C44)</f>
        <v>77972</v>
      </c>
      <c r="D45" s="17" t="s">
        <v>23</v>
      </c>
      <c r="E45" s="17"/>
    </row>
    <row r="47" spans="2:5" ht="18.5" thickBot="1" x14ac:dyDescent="0.6">
      <c r="B47" s="6" t="s">
        <v>4</v>
      </c>
      <c r="C47" s="6">
        <v>20500</v>
      </c>
      <c r="D47" s="7"/>
      <c r="E47" s="7"/>
    </row>
    <row r="48" spans="2:5" x14ac:dyDescent="0.55000000000000004">
      <c r="B48" s="8" t="s">
        <v>14</v>
      </c>
      <c r="C48" s="9" t="s">
        <v>34</v>
      </c>
      <c r="D48" s="10" t="s">
        <v>15</v>
      </c>
      <c r="E48" s="10" t="s">
        <v>30</v>
      </c>
    </row>
    <row r="49" spans="2:5" x14ac:dyDescent="0.55000000000000004">
      <c r="B49" s="12" t="s">
        <v>62</v>
      </c>
      <c r="C49" s="12">
        <v>2430</v>
      </c>
      <c r="D49" s="13" t="s">
        <v>60</v>
      </c>
      <c r="E49" s="13" t="s">
        <v>61</v>
      </c>
    </row>
    <row r="50" spans="2:5" x14ac:dyDescent="0.55000000000000004">
      <c r="B50" s="12" t="s">
        <v>63</v>
      </c>
      <c r="C50" s="12">
        <v>108</v>
      </c>
      <c r="D50" s="13"/>
      <c r="E50" s="13" t="s">
        <v>36</v>
      </c>
    </row>
    <row r="51" spans="2:5" x14ac:dyDescent="0.55000000000000004">
      <c r="B51" s="12" t="s">
        <v>64</v>
      </c>
      <c r="C51" s="12">
        <f>626*5+519</f>
        <v>3649</v>
      </c>
      <c r="D51" s="13" t="s">
        <v>65</v>
      </c>
      <c r="E51" s="13" t="s">
        <v>43</v>
      </c>
    </row>
    <row r="52" spans="2:5" x14ac:dyDescent="0.55000000000000004">
      <c r="B52" s="12" t="s">
        <v>67</v>
      </c>
      <c r="C52" s="12">
        <f>108*2</f>
        <v>216</v>
      </c>
      <c r="D52" s="13" t="s">
        <v>68</v>
      </c>
      <c r="E52" s="13" t="s">
        <v>66</v>
      </c>
    </row>
    <row r="53" spans="2:5" x14ac:dyDescent="0.55000000000000004">
      <c r="B53" s="12" t="s">
        <v>69</v>
      </c>
      <c r="C53" s="12">
        <v>1760</v>
      </c>
      <c r="D53" s="13" t="s">
        <v>76</v>
      </c>
      <c r="E53" s="13" t="s">
        <v>36</v>
      </c>
    </row>
    <row r="54" spans="2:5" x14ac:dyDescent="0.55000000000000004">
      <c r="B54" s="3" t="s">
        <v>71</v>
      </c>
      <c r="C54" s="3">
        <v>2160</v>
      </c>
      <c r="D54" s="18" t="s">
        <v>70</v>
      </c>
      <c r="E54" s="18" t="s">
        <v>36</v>
      </c>
    </row>
    <row r="55" spans="2:5" x14ac:dyDescent="0.55000000000000004">
      <c r="B55" s="3" t="s">
        <v>72</v>
      </c>
      <c r="C55" s="3">
        <v>3918</v>
      </c>
      <c r="D55" s="18"/>
      <c r="E55" s="18" t="s">
        <v>36</v>
      </c>
    </row>
    <row r="56" spans="2:5" x14ac:dyDescent="0.55000000000000004">
      <c r="B56" s="3" t="s">
        <v>73</v>
      </c>
      <c r="C56" s="3">
        <v>514</v>
      </c>
      <c r="D56" s="18" t="s">
        <v>75</v>
      </c>
      <c r="E56" s="18" t="s">
        <v>74</v>
      </c>
    </row>
    <row r="57" spans="2:5" ht="18.5" thickBot="1" x14ac:dyDescent="0.6">
      <c r="B57" s="4" t="s">
        <v>69</v>
      </c>
      <c r="C57" s="4">
        <v>830</v>
      </c>
      <c r="D57" s="15" t="s">
        <v>77</v>
      </c>
      <c r="E57" s="15" t="s">
        <v>36</v>
      </c>
    </row>
    <row r="58" spans="2:5" ht="19" thickTop="1" thickBot="1" x14ac:dyDescent="0.6">
      <c r="B58" s="16" t="s">
        <v>18</v>
      </c>
      <c r="C58" s="5">
        <f>SUM(C49:C57)</f>
        <v>15585</v>
      </c>
      <c r="D58" s="17" t="s">
        <v>78</v>
      </c>
      <c r="E58" s="17"/>
    </row>
    <row r="60" spans="2:5" ht="18.5" thickBot="1" x14ac:dyDescent="0.6">
      <c r="B60" s="6" t="s">
        <v>5</v>
      </c>
      <c r="C60" s="6">
        <v>48500</v>
      </c>
      <c r="D60" s="7"/>
      <c r="E60" s="7"/>
    </row>
    <row r="61" spans="2:5" x14ac:dyDescent="0.55000000000000004">
      <c r="B61" s="8" t="s">
        <v>14</v>
      </c>
      <c r="C61" s="9" t="s">
        <v>34</v>
      </c>
      <c r="D61" s="10" t="s">
        <v>15</v>
      </c>
      <c r="E61" s="10" t="s">
        <v>30</v>
      </c>
    </row>
    <row r="62" spans="2:5" x14ac:dyDescent="0.55000000000000004">
      <c r="B62" s="12" t="s">
        <v>79</v>
      </c>
      <c r="C62" s="12">
        <v>1000</v>
      </c>
      <c r="D62" s="13" t="s">
        <v>80</v>
      </c>
      <c r="E62" s="13" t="s">
        <v>74</v>
      </c>
    </row>
    <row r="63" spans="2:5" x14ac:dyDescent="0.55000000000000004">
      <c r="B63" s="12" t="s">
        <v>81</v>
      </c>
      <c r="C63" s="12">
        <f>216+216+108+108+108+324+108</f>
        <v>1188</v>
      </c>
      <c r="D63" s="13" t="s">
        <v>83</v>
      </c>
      <c r="E63" s="13" t="s">
        <v>82</v>
      </c>
    </row>
    <row r="64" spans="2:5" x14ac:dyDescent="0.55000000000000004">
      <c r="B64" s="12" t="s">
        <v>84</v>
      </c>
      <c r="C64" s="12">
        <v>5160</v>
      </c>
      <c r="D64" s="13" t="s">
        <v>86</v>
      </c>
      <c r="E64" s="13" t="s">
        <v>85</v>
      </c>
    </row>
    <row r="65" spans="2:5" x14ac:dyDescent="0.55000000000000004">
      <c r="B65" s="12" t="s">
        <v>84</v>
      </c>
      <c r="C65" s="12">
        <f>3180*6</f>
        <v>19080</v>
      </c>
      <c r="D65" s="13" t="s">
        <v>87</v>
      </c>
      <c r="E65" s="13" t="s">
        <v>85</v>
      </c>
    </row>
    <row r="66" spans="2:5" x14ac:dyDescent="0.55000000000000004">
      <c r="B66" s="12" t="s">
        <v>88</v>
      </c>
      <c r="C66" s="12">
        <v>1200</v>
      </c>
      <c r="D66" s="13" t="s">
        <v>89</v>
      </c>
      <c r="E66" s="13" t="s">
        <v>85</v>
      </c>
    </row>
    <row r="67" spans="2:5" x14ac:dyDescent="0.55000000000000004">
      <c r="B67" s="12" t="s">
        <v>90</v>
      </c>
      <c r="C67" s="12">
        <v>13920</v>
      </c>
      <c r="D67" s="13" t="s">
        <v>91</v>
      </c>
      <c r="E67" s="13" t="s">
        <v>85</v>
      </c>
    </row>
    <row r="68" spans="2:5" x14ac:dyDescent="0.55000000000000004">
      <c r="B68" s="3" t="s">
        <v>92</v>
      </c>
      <c r="C68" s="3">
        <v>525</v>
      </c>
      <c r="D68" s="18" t="s">
        <v>93</v>
      </c>
      <c r="E68" s="18" t="s">
        <v>94</v>
      </c>
    </row>
    <row r="69" spans="2:5" ht="18.5" thickBot="1" x14ac:dyDescent="0.6">
      <c r="B69" s="4" t="s">
        <v>95</v>
      </c>
      <c r="C69" s="4">
        <v>1960</v>
      </c>
      <c r="D69" s="15"/>
      <c r="E69" s="15" t="s">
        <v>82</v>
      </c>
    </row>
    <row r="70" spans="2:5" ht="19" thickTop="1" thickBot="1" x14ac:dyDescent="0.6">
      <c r="B70" s="16" t="s">
        <v>18</v>
      </c>
      <c r="C70" s="5">
        <f>SUM(C62:C69)</f>
        <v>44033</v>
      </c>
      <c r="D70" s="17" t="s">
        <v>96</v>
      </c>
      <c r="E70" s="17"/>
    </row>
    <row r="72" spans="2:5" ht="18.5" thickBot="1" x14ac:dyDescent="0.6">
      <c r="B72" s="6" t="s">
        <v>6</v>
      </c>
      <c r="C72" s="6">
        <v>7000</v>
      </c>
      <c r="D72" s="7"/>
      <c r="E72" s="7"/>
    </row>
    <row r="73" spans="2:5" x14ac:dyDescent="0.55000000000000004">
      <c r="B73" s="8" t="s">
        <v>14</v>
      </c>
      <c r="C73" s="9" t="s">
        <v>34</v>
      </c>
      <c r="D73" s="10" t="s">
        <v>15</v>
      </c>
      <c r="E73" s="10" t="s">
        <v>30</v>
      </c>
    </row>
    <row r="74" spans="2:5" x14ac:dyDescent="0.55000000000000004">
      <c r="B74" s="12" t="s">
        <v>98</v>
      </c>
      <c r="C74" s="12">
        <v>3780</v>
      </c>
      <c r="D74" s="13"/>
      <c r="E74" s="13" t="s">
        <v>94</v>
      </c>
    </row>
    <row r="75" spans="2:5" x14ac:dyDescent="0.55000000000000004">
      <c r="B75" s="12" t="s">
        <v>39</v>
      </c>
      <c r="C75" s="12">
        <v>604</v>
      </c>
      <c r="D75" s="13" t="s">
        <v>100</v>
      </c>
      <c r="E75" s="13" t="s">
        <v>104</v>
      </c>
    </row>
    <row r="76" spans="2:5" x14ac:dyDescent="0.55000000000000004">
      <c r="B76" s="12"/>
      <c r="C76" s="12">
        <v>432</v>
      </c>
      <c r="D76" s="13" t="s">
        <v>101</v>
      </c>
      <c r="E76" s="13" t="s">
        <v>104</v>
      </c>
    </row>
    <row r="77" spans="2:5" x14ac:dyDescent="0.55000000000000004">
      <c r="B77" s="12"/>
      <c r="C77" s="12">
        <v>432</v>
      </c>
      <c r="D77" s="13" t="s">
        <v>102</v>
      </c>
      <c r="E77" s="13" t="s">
        <v>104</v>
      </c>
    </row>
    <row r="78" spans="2:5" x14ac:dyDescent="0.55000000000000004">
      <c r="B78" s="12"/>
      <c r="C78" s="12">
        <v>604</v>
      </c>
      <c r="D78" s="13" t="s">
        <v>103</v>
      </c>
      <c r="E78" s="13" t="s">
        <v>104</v>
      </c>
    </row>
    <row r="79" spans="2:5" ht="18.5" thickBot="1" x14ac:dyDescent="0.6">
      <c r="B79" s="4" t="s">
        <v>99</v>
      </c>
      <c r="C79" s="4">
        <f>750+1050+1500</f>
        <v>3300</v>
      </c>
      <c r="D79" s="15" t="s">
        <v>105</v>
      </c>
      <c r="E79" s="15" t="s">
        <v>104</v>
      </c>
    </row>
    <row r="80" spans="2:5" ht="19" thickTop="1" thickBot="1" x14ac:dyDescent="0.6">
      <c r="B80" s="16" t="s">
        <v>18</v>
      </c>
      <c r="C80" s="5">
        <f>SUM(C74:C79)</f>
        <v>9152</v>
      </c>
      <c r="D80" s="17" t="s">
        <v>107</v>
      </c>
      <c r="E80" s="17"/>
    </row>
    <row r="82" spans="2:5" ht="18.5" thickBot="1" x14ac:dyDescent="0.6">
      <c r="B82" s="6" t="s">
        <v>7</v>
      </c>
      <c r="C82" s="6">
        <v>14500</v>
      </c>
      <c r="D82" s="7"/>
      <c r="E82" s="7"/>
    </row>
    <row r="83" spans="2:5" x14ac:dyDescent="0.55000000000000004">
      <c r="B83" s="8" t="s">
        <v>14</v>
      </c>
      <c r="C83" s="9" t="s">
        <v>34</v>
      </c>
      <c r="D83" s="10" t="s">
        <v>15</v>
      </c>
      <c r="E83" s="10" t="s">
        <v>30</v>
      </c>
    </row>
    <row r="84" spans="2:5" ht="18.5" thickBot="1" x14ac:dyDescent="0.6">
      <c r="B84" s="4" t="s">
        <v>106</v>
      </c>
      <c r="C84" s="4">
        <v>8186</v>
      </c>
      <c r="D84" s="15" t="s">
        <v>110</v>
      </c>
      <c r="E84" s="15" t="s">
        <v>109</v>
      </c>
    </row>
    <row r="85" spans="2:5" ht="19" thickTop="1" thickBot="1" x14ac:dyDescent="0.6">
      <c r="B85" s="16" t="s">
        <v>18</v>
      </c>
      <c r="C85" s="5">
        <f>SUM(C84:C84)</f>
        <v>8186</v>
      </c>
      <c r="D85" s="17" t="s">
        <v>108</v>
      </c>
      <c r="E85" s="17"/>
    </row>
    <row r="87" spans="2:5" ht="18.5" thickBot="1" x14ac:dyDescent="0.6">
      <c r="B87" s="6" t="s">
        <v>8</v>
      </c>
      <c r="C87" s="6">
        <v>8000</v>
      </c>
      <c r="D87" s="7"/>
      <c r="E87" s="7"/>
    </row>
    <row r="88" spans="2:5" x14ac:dyDescent="0.55000000000000004">
      <c r="B88" s="8" t="s">
        <v>14</v>
      </c>
      <c r="C88" s="9" t="s">
        <v>34</v>
      </c>
      <c r="D88" s="10" t="s">
        <v>15</v>
      </c>
      <c r="E88" s="10" t="s">
        <v>30</v>
      </c>
    </row>
    <row r="89" spans="2:5" ht="18.5" thickBot="1" x14ac:dyDescent="0.6">
      <c r="B89" s="4" t="s">
        <v>112</v>
      </c>
      <c r="C89" s="4">
        <v>6820</v>
      </c>
      <c r="D89" s="15" t="s">
        <v>113</v>
      </c>
      <c r="E89" s="15" t="s">
        <v>111</v>
      </c>
    </row>
    <row r="90" spans="2:5" ht="19" thickTop="1" thickBot="1" x14ac:dyDescent="0.6">
      <c r="B90" s="16" t="s">
        <v>18</v>
      </c>
      <c r="C90" s="5">
        <f>SUM(C89:C89)</f>
        <v>6820</v>
      </c>
      <c r="D90" s="17" t="s">
        <v>114</v>
      </c>
      <c r="E90" s="17"/>
    </row>
    <row r="92" spans="2:5" ht="18.5" thickBot="1" x14ac:dyDescent="0.6">
      <c r="B92" s="6" t="s">
        <v>9</v>
      </c>
      <c r="C92" s="6">
        <v>21000</v>
      </c>
      <c r="D92" s="7"/>
      <c r="E92" s="7"/>
    </row>
    <row r="93" spans="2:5" x14ac:dyDescent="0.55000000000000004">
      <c r="B93" s="8" t="s">
        <v>14</v>
      </c>
      <c r="C93" s="9" t="s">
        <v>34</v>
      </c>
      <c r="D93" s="10" t="s">
        <v>15</v>
      </c>
      <c r="E93" s="10" t="s">
        <v>30</v>
      </c>
    </row>
    <row r="94" spans="2:5" x14ac:dyDescent="0.55000000000000004">
      <c r="B94" s="12" t="s">
        <v>115</v>
      </c>
      <c r="C94" s="12">
        <v>591</v>
      </c>
      <c r="D94" s="13"/>
      <c r="E94" s="13" t="s">
        <v>109</v>
      </c>
    </row>
    <row r="95" spans="2:5" x14ac:dyDescent="0.55000000000000004">
      <c r="B95" s="12" t="s">
        <v>99</v>
      </c>
      <c r="C95" s="12">
        <f>10*2</f>
        <v>20</v>
      </c>
      <c r="D95" s="13"/>
      <c r="E95" s="13" t="s">
        <v>109</v>
      </c>
    </row>
    <row r="96" spans="2:5" x14ac:dyDescent="0.55000000000000004">
      <c r="B96" s="12" t="s">
        <v>116</v>
      </c>
      <c r="C96" s="24">
        <v>16951</v>
      </c>
      <c r="D96" s="13" t="s">
        <v>117</v>
      </c>
      <c r="E96" s="13" t="s">
        <v>109</v>
      </c>
    </row>
    <row r="97" spans="2:7" x14ac:dyDescent="0.55000000000000004">
      <c r="B97" s="12" t="s">
        <v>39</v>
      </c>
      <c r="C97" s="12">
        <v>720</v>
      </c>
      <c r="D97" s="13" t="s">
        <v>118</v>
      </c>
      <c r="E97" s="13" t="s">
        <v>109</v>
      </c>
    </row>
    <row r="98" spans="2:7" x14ac:dyDescent="0.55000000000000004">
      <c r="B98" s="12" t="s">
        <v>119</v>
      </c>
      <c r="C98" s="12">
        <v>222</v>
      </c>
      <c r="D98" s="13" t="s">
        <v>120</v>
      </c>
      <c r="E98" s="13" t="s">
        <v>109</v>
      </c>
    </row>
    <row r="99" spans="2:7" x14ac:dyDescent="0.55000000000000004">
      <c r="B99" s="12" t="s">
        <v>121</v>
      </c>
      <c r="C99" s="12">
        <f>213+192</f>
        <v>405</v>
      </c>
      <c r="D99" s="13"/>
      <c r="E99" s="13" t="s">
        <v>109</v>
      </c>
    </row>
    <row r="100" spans="2:7" x14ac:dyDescent="0.55000000000000004">
      <c r="B100" s="3" t="s">
        <v>122</v>
      </c>
      <c r="C100" s="3">
        <v>950</v>
      </c>
      <c r="D100" s="18"/>
      <c r="E100" s="13" t="s">
        <v>109</v>
      </c>
    </row>
    <row r="101" spans="2:7" ht="18.5" thickBot="1" x14ac:dyDescent="0.6">
      <c r="B101" s="4" t="s">
        <v>42</v>
      </c>
      <c r="C101" s="4">
        <f>210+210+591+203</f>
        <v>1214</v>
      </c>
      <c r="D101" s="15" t="s">
        <v>123</v>
      </c>
      <c r="E101" s="15" t="s">
        <v>43</v>
      </c>
      <c r="F101" s="25" t="s">
        <v>45</v>
      </c>
    </row>
    <row r="102" spans="2:7" ht="19" thickTop="1" thickBot="1" x14ac:dyDescent="0.6">
      <c r="B102" s="16" t="s">
        <v>18</v>
      </c>
      <c r="C102" s="5">
        <f>SUM(C94:C101)</f>
        <v>21073</v>
      </c>
      <c r="D102" s="17" t="s">
        <v>127</v>
      </c>
      <c r="E102" s="17"/>
    </row>
    <row r="104" spans="2:7" ht="18.5" thickBot="1" x14ac:dyDescent="0.6">
      <c r="B104" s="6" t="s">
        <v>97</v>
      </c>
      <c r="C104" s="6">
        <v>15000</v>
      </c>
      <c r="D104" s="7"/>
      <c r="E104" s="7"/>
    </row>
    <row r="105" spans="2:7" x14ac:dyDescent="0.55000000000000004">
      <c r="B105" s="8" t="s">
        <v>14</v>
      </c>
      <c r="C105" s="9" t="s">
        <v>34</v>
      </c>
      <c r="D105" s="10" t="s">
        <v>15</v>
      </c>
      <c r="E105" s="10" t="s">
        <v>30</v>
      </c>
    </row>
    <row r="106" spans="2:7" x14ac:dyDescent="0.55000000000000004">
      <c r="B106" s="3" t="s">
        <v>2</v>
      </c>
      <c r="C106" s="3">
        <v>3200</v>
      </c>
      <c r="D106" s="18"/>
      <c r="E106" s="18" t="s">
        <v>124</v>
      </c>
      <c r="G106">
        <v>13972</v>
      </c>
    </row>
    <row r="107" spans="2:7" ht="18.5" thickBot="1" x14ac:dyDescent="0.6">
      <c r="B107" s="4" t="s">
        <v>125</v>
      </c>
      <c r="C107" s="4">
        <f>110770-100000</f>
        <v>10770</v>
      </c>
      <c r="D107" s="15" t="s">
        <v>126</v>
      </c>
      <c r="E107" s="15" t="s">
        <v>109</v>
      </c>
      <c r="G107">
        <f>15000-3200-2152</f>
        <v>9648</v>
      </c>
    </row>
    <row r="108" spans="2:7" ht="19" thickTop="1" thickBot="1" x14ac:dyDescent="0.6">
      <c r="B108" s="16" t="s">
        <v>18</v>
      </c>
      <c r="C108" s="5">
        <f>SUM(C106:C107)</f>
        <v>13970</v>
      </c>
      <c r="D108" s="17" t="s">
        <v>128</v>
      </c>
      <c r="E108" s="17"/>
      <c r="G108">
        <f>G106-G107</f>
        <v>4324</v>
      </c>
    </row>
    <row r="111" spans="2:7" ht="18.5" thickBot="1" x14ac:dyDescent="0.6">
      <c r="B111" s="6" t="s">
        <v>24</v>
      </c>
      <c r="C111" s="6"/>
      <c r="D111" s="7"/>
    </row>
    <row r="112" spans="2:7" x14ac:dyDescent="0.55000000000000004">
      <c r="B112" s="8" t="s">
        <v>14</v>
      </c>
      <c r="C112" s="9" t="s">
        <v>34</v>
      </c>
      <c r="D112" s="10" t="s">
        <v>15</v>
      </c>
    </row>
    <row r="113" spans="2:4" x14ac:dyDescent="0.55000000000000004">
      <c r="B113" s="3" t="s">
        <v>129</v>
      </c>
      <c r="C113" s="3">
        <f>C7</f>
        <v>221000</v>
      </c>
      <c r="D113" s="18"/>
    </row>
    <row r="114" spans="2:4" ht="18.5" thickBot="1" x14ac:dyDescent="0.6">
      <c r="B114" s="4" t="s">
        <v>130</v>
      </c>
      <c r="C114" s="4">
        <f>C108+C102+C90+C85+C80+C70+C58+C45+C25+C19+C14</f>
        <v>210391</v>
      </c>
      <c r="D114" s="15" t="s">
        <v>131</v>
      </c>
    </row>
    <row r="115" spans="2:4" ht="19" thickTop="1" thickBot="1" x14ac:dyDescent="0.6">
      <c r="B115" s="16" t="s">
        <v>24</v>
      </c>
      <c r="C115" s="5">
        <f>C113-C114</f>
        <v>10609</v>
      </c>
      <c r="D115" s="17"/>
    </row>
  </sheetData>
  <mergeCells count="1">
    <mergeCell ref="B1:E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7" sqref="D7"/>
    </sheetView>
  </sheetViews>
  <sheetFormatPr defaultRowHeight="18" x14ac:dyDescent="0.55000000000000004"/>
  <sheetData>
    <row r="1" spans="1:4" x14ac:dyDescent="0.55000000000000004">
      <c r="A1">
        <v>4500</v>
      </c>
      <c r="B1">
        <v>16</v>
      </c>
      <c r="C1">
        <f>A1*B1</f>
        <v>72000</v>
      </c>
    </row>
    <row r="2" spans="1:4" x14ac:dyDescent="0.55000000000000004">
      <c r="A2">
        <v>4100</v>
      </c>
      <c r="B2">
        <v>7</v>
      </c>
      <c r="C2">
        <f>A2*B2</f>
        <v>28700</v>
      </c>
    </row>
    <row r="3" spans="1:4" x14ac:dyDescent="0.55000000000000004">
      <c r="C3">
        <f>SUM(C1:C2)</f>
        <v>100700</v>
      </c>
    </row>
    <row r="4" spans="1:4" x14ac:dyDescent="0.55000000000000004">
      <c r="C4">
        <f>1.1*C3</f>
        <v>110770.00000000001</v>
      </c>
      <c r="D4" t="s">
        <v>0</v>
      </c>
    </row>
    <row r="6" spans="1:4" x14ac:dyDescent="0.55000000000000004">
      <c r="A6">
        <v>4000</v>
      </c>
      <c r="B6">
        <v>7</v>
      </c>
      <c r="C6">
        <f>A6*B6</f>
        <v>28000</v>
      </c>
    </row>
    <row r="7" spans="1:4" x14ac:dyDescent="0.55000000000000004">
      <c r="C7">
        <f>SUM(C1,C6)</f>
        <v>100000</v>
      </c>
      <c r="D7">
        <f>C4-C7</f>
        <v>10770.000000000015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決算</vt:lpstr>
      <vt:lpstr>打ち上げ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 Yamada</dc:creator>
  <cp:lastModifiedBy>81804</cp:lastModifiedBy>
  <dcterms:created xsi:type="dcterms:W3CDTF">2015-06-05T18:17:20Z</dcterms:created>
  <dcterms:modified xsi:type="dcterms:W3CDTF">2019-10-19T08:42:40Z</dcterms:modified>
</cp:coreProperties>
</file>